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dgeMem Pric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"/>
    <numFmt numFmtId="165" formatCode="\₹#,##0;&quot;(₹&quot;#,##0\);\-"/>
    <numFmt numFmtId="166" formatCode="0.0%"/>
  </numFmts>
  <fonts count="7">
    <font>
      <name val="Calibri"/>
      <family val="2"/>
      <color theme="1"/>
      <sz val="11"/>
      <scheme val="minor"/>
    </font>
    <font>
      <name val="Trebuchet MS"/>
      <b val="1"/>
      <color rgb="FFFFFFFF"/>
      <sz val="16"/>
    </font>
    <font>
      <name val="Trebuchet MS"/>
      <color rgb="FFFFFFFF"/>
      <sz val="10"/>
    </font>
    <font>
      <name val="Trebuchet MS"/>
      <b val="1"/>
      <color rgb="FFFFFFFF"/>
      <sz val="11"/>
    </font>
    <font>
      <name val="Trebuchet MS"/>
      <b val="1"/>
      <color rgb="FFFFFFFF"/>
      <sz val="10"/>
    </font>
    <font>
      <name val="Trebuchet MS"/>
      <color rgb="FFFFFFFF"/>
      <sz val="9"/>
    </font>
    <font>
      <name val="Trebuchet MS"/>
      <color rgb="FFFFFFFF"/>
      <sz val="8"/>
    </font>
  </fonts>
  <fills count="20">
    <fill>
      <patternFill/>
    </fill>
    <fill>
      <patternFill patternType="gray125"/>
    </fill>
    <fill>
      <patternFill patternType="solid">
        <fgColor rgb="FF060D28"/>
      </patternFill>
    </fill>
    <fill>
      <patternFill patternType="solid">
        <fgColor rgb="FF0D1B4B"/>
      </patternFill>
    </fill>
    <fill>
      <patternFill patternType="solid">
        <fgColor rgb="FF080F2A"/>
      </patternFill>
    </fill>
    <fill>
      <patternFill patternType="solid">
        <fgColor rgb="FF0A2060"/>
      </patternFill>
    </fill>
    <fill>
      <patternFill patternType="solid">
        <fgColor rgb="FF0A1540"/>
      </patternFill>
    </fill>
    <fill>
      <patternFill patternType="solid">
        <fgColor rgb="FF0D3B8C"/>
      </patternFill>
    </fill>
    <fill>
      <patternFill patternType="solid">
        <fgColor rgb="FF112255"/>
      </patternFill>
    </fill>
    <fill>
      <patternFill patternType="solid">
        <fgColor rgb="FF0D2050"/>
      </patternFill>
    </fill>
    <fill>
      <patternFill patternType="solid">
        <fgColor rgb="FF3D5AFE"/>
      </patternFill>
    </fill>
    <fill>
      <patternFill patternType="solid">
        <fgColor rgb="FF5C6BC0"/>
      </patternFill>
    </fill>
    <fill>
      <patternFill patternType="solid">
        <fgColor rgb="FF1565C0"/>
      </patternFill>
    </fill>
    <fill>
      <patternFill patternType="solid">
        <fgColor rgb="FF0D47A1"/>
      </patternFill>
    </fill>
    <fill>
      <patternFill patternType="solid">
        <fgColor rgb="FF37474F"/>
      </patternFill>
    </fill>
    <fill>
      <patternFill patternType="solid">
        <fgColor rgb="FF263238"/>
      </patternFill>
    </fill>
    <fill>
      <patternFill patternType="solid">
        <fgColor rgb="FF1E2A3A"/>
      </patternFill>
    </fill>
    <fill>
      <patternFill patternType="solid">
        <fgColor rgb="FF0D2A1A"/>
      </patternFill>
    </fill>
    <fill>
      <patternFill patternType="solid">
        <fgColor rgb="FF112266"/>
      </patternFill>
    </fill>
    <fill>
      <patternFill patternType="solid">
        <fgColor rgb="FF1A237E"/>
      </patternFill>
    </fill>
  </fills>
  <borders count="6">
    <border>
      <left/>
      <right/>
      <top/>
      <bottom/>
      <diagonal/>
    </border>
    <border>
      <left style="thin">
        <color rgb="FF1A2B6B"/>
      </left>
      <right style="thin">
        <color rgb="FF1A2B6B"/>
      </right>
      <top style="thin">
        <color rgb="FF1A2B6B"/>
      </top>
      <bottom style="thin">
        <color rgb="FF1A2B6B"/>
      </bottom>
    </border>
    <border>
      <left/>
      <right/>
      <top style="thin">
        <color rgb="FF1A2B6B"/>
      </top>
      <bottom/>
      <diagonal/>
    </border>
    <border>
      <left/>
      <right style="thin">
        <color rgb="FF1A2B6B"/>
      </right>
      <top style="thin">
        <color rgb="FF1A2B6B"/>
      </top>
      <bottom/>
      <diagonal/>
    </border>
    <border>
      <left/>
      <right style="thin">
        <color rgb="FF1A2B6B"/>
      </right>
      <top style="thin">
        <color rgb="FF1A2B6B"/>
      </top>
      <bottom style="thin">
        <color rgb="FF1A2B6B"/>
      </bottom>
      <diagonal/>
    </border>
    <border>
      <left/>
      <right/>
      <top style="thin">
        <color rgb="FF1A2B6B"/>
      </top>
      <bottom style="thin">
        <color rgb="FF1A2B6B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2" fontId="4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4" fillId="5" borderId="1" applyAlignment="1" pivotButton="0" quotePrefix="0" xfId="0">
      <alignment horizontal="center" vertical="center" wrapText="1"/>
    </xf>
    <xf numFmtId="164" fontId="4" fillId="9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center" vertical="center" wrapText="1"/>
    </xf>
    <xf numFmtId="165" fontId="4" fillId="9" borderId="1" applyAlignment="1" pivotButton="0" quotePrefix="0" xfId="0">
      <alignment horizontal="center" vertical="center" wrapText="1"/>
    </xf>
    <xf numFmtId="166" fontId="4" fillId="17" borderId="1" applyAlignment="1" pivotButton="0" quotePrefix="0" xfId="0">
      <alignment horizontal="center" vertical="center" wrapText="1"/>
    </xf>
    <xf numFmtId="0" fontId="4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0" fontId="4" fillId="11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4" fillId="12" borderId="1" applyAlignment="1" pivotButton="0" quotePrefix="0" xfId="0">
      <alignment horizontal="center" vertical="center" wrapText="1"/>
    </xf>
    <xf numFmtId="0" fontId="4" fillId="13" borderId="1" applyAlignment="1" pivotButton="0" quotePrefix="0" xfId="0">
      <alignment horizontal="center" vertical="center" wrapText="1"/>
    </xf>
    <xf numFmtId="0" fontId="4" fillId="14" borderId="1" applyAlignment="1" pivotButton="0" quotePrefix="0" xfId="0">
      <alignment horizontal="center" vertical="center" wrapText="1"/>
    </xf>
    <xf numFmtId="0" fontId="4" fillId="15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 wrapText="1"/>
    </xf>
    <xf numFmtId="0" fontId="4" fillId="16" borderId="1" applyAlignment="1" pivotButton="0" quotePrefix="0" xfId="0">
      <alignment horizontal="center" vertical="center" wrapText="1"/>
    </xf>
    <xf numFmtId="165" fontId="4" fillId="5" borderId="1" applyAlignment="1" pivotButton="0" quotePrefix="0" xfId="0">
      <alignment horizontal="center" vertical="center" wrapText="1"/>
    </xf>
    <xf numFmtId="165" fontId="4" fillId="16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horizontal="left" vertical="center" wrapText="1"/>
    </xf>
    <xf numFmtId="165" fontId="4" fillId="1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0" fillId="12" borderId="1" pivotButton="0" quotePrefix="0" xfId="0"/>
    <xf numFmtId="0" fontId="0" fillId="13" borderId="1" pivotButton="0" quotePrefix="0" xfId="0"/>
    <xf numFmtId="0" fontId="0" fillId="14" borderId="1" pivotButton="0" quotePrefix="0" xfId="0"/>
    <xf numFmtId="0" fontId="0" fillId="15" borderId="1" pivotButton="0" quotePrefix="0" xfId="0"/>
    <xf numFmtId="165" fontId="4" fillId="12" borderId="1" applyAlignment="1" pivotButton="0" quotePrefix="0" xfId="0">
      <alignment horizontal="center" vertical="center" wrapText="1"/>
    </xf>
    <xf numFmtId="0" fontId="0" fillId="0" borderId="4" pivotButton="0" quotePrefix="0" xfId="0"/>
    <xf numFmtId="165" fontId="4" fillId="13" borderId="1" applyAlignment="1" pivotButton="0" quotePrefix="0" xfId="0">
      <alignment horizontal="center" vertical="center" wrapText="1"/>
    </xf>
    <xf numFmtId="164" fontId="4" fillId="14" borderId="1" applyAlignment="1" pivotButton="0" quotePrefix="0" xfId="0">
      <alignment horizontal="center" vertical="center" wrapText="1"/>
    </xf>
    <xf numFmtId="165" fontId="4" fillId="15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horizontal="center" vertical="center" wrapText="1"/>
    </xf>
    <xf numFmtId="0" fontId="0" fillId="18" borderId="1" pivotButton="0" quotePrefix="0" xfId="0"/>
    <xf numFmtId="0" fontId="4" fillId="19" borderId="1" applyAlignment="1" pivotButton="0" quotePrefix="0" xfId="0">
      <alignment horizontal="center" vertical="center" wrapText="1"/>
    </xf>
    <xf numFmtId="0" fontId="0" fillId="19" borderId="1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18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D47A1"/>
    <outlinePr summaryBelow="1" summaryRight="1"/>
    <pageSetUpPr/>
  </sheetPr>
  <dimension ref="A2:K8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2" customWidth="1" min="2" max="2"/>
    <col width="12.86" customWidth="1" min="3" max="3"/>
    <col width="20" customWidth="1" min="4" max="4"/>
    <col width="21.43" customWidth="1" min="5" max="5"/>
    <col width="28.43" customWidth="1" min="6" max="6"/>
    <col width="2" customWidth="1" min="7" max="7"/>
    <col width="20" customWidth="1" min="8" max="8"/>
    <col width="20" customWidth="1" min="9" max="9"/>
    <col width="28.29" customWidth="1" min="10" max="10"/>
    <col width="5" customWidth="1" min="11" max="11"/>
  </cols>
  <sheetData>
    <row r="2" ht="28" customHeight="1">
      <c r="A2" s="1" t="inlineStr">
        <is>
          <t>EDGE.MEM  ·  SUBSCRIPTION PRICING MODEL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 ht="18" customHeight="1">
      <c r="A3" s="3" t="inlineStr">
        <is>
          <t>Offline-First Hybrid-Search Memory for Industrial Edge Devices  ||  Edge works offline; cloud adds LLM synthesis + shared retrieval  ||  Phase 1 Pricing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5" ht="22" customHeight="1">
      <c r="B5" s="4" t="inlineStr">
        <is>
          <t>MODEL ASSUMPTIONS</t>
        </is>
      </c>
      <c r="C5" s="5" t="n"/>
      <c r="D5" s="5" t="n"/>
      <c r="E5" s="5" t="n"/>
      <c r="F5" s="5" t="n"/>
      <c r="G5" s="5" t="n"/>
      <c r="H5" s="5" t="n"/>
      <c r="I5" s="5" t="n"/>
      <c r="J5" s="5" t="n"/>
    </row>
    <row r="6">
      <c r="B6" s="6" t="inlineStr">
        <is>
          <t>Annual Billing Discount</t>
        </is>
      </c>
      <c r="C6" s="7" t="n"/>
      <c r="D6" s="8" t="inlineStr">
        <is>
          <t>17%</t>
        </is>
      </c>
      <c r="E6" s="9" t="n"/>
      <c r="F6" s="9" t="n"/>
      <c r="G6" s="9" t="n"/>
      <c r="H6" s="9" t="n"/>
      <c r="I6" s="9" t="n"/>
      <c r="J6" s="9" t="n"/>
    </row>
    <row r="7">
      <c r="B7" s="6" t="inlineStr">
        <is>
          <t>Primary Currency</t>
        </is>
      </c>
      <c r="C7" s="7" t="n"/>
      <c r="D7" s="8" t="inlineStr">
        <is>
          <t>INR (₹)   —   USD shown as an indicative conversion</t>
        </is>
      </c>
      <c r="E7" s="9" t="n"/>
      <c r="F7" s="9" t="n"/>
      <c r="G7" s="9" t="n"/>
      <c r="H7" s="9" t="n"/>
      <c r="I7" s="9" t="n"/>
      <c r="J7" s="9" t="n"/>
    </row>
    <row r="8">
      <c r="B8" s="6" t="inlineStr">
        <is>
          <t>USD → INR Rate (editable)</t>
        </is>
      </c>
      <c r="C8" s="7" t="n"/>
      <c r="D8" s="10" t="n">
        <v>96.06999999999999</v>
      </c>
      <c r="E8" s="9" t="n"/>
      <c r="F8" s="9" t="n"/>
      <c r="G8" s="9" t="n"/>
      <c r="H8" s="9" t="n"/>
      <c r="I8" s="9" t="n"/>
      <c r="J8" s="9" t="n"/>
    </row>
    <row r="9">
      <c r="B9" s="6" t="inlineStr">
        <is>
          <t>Billing Cycle Options</t>
        </is>
      </c>
      <c r="C9" s="7" t="n"/>
      <c r="D9" s="8" t="inlineStr">
        <is>
          <t>Monthly Billing   |   Annual Billing</t>
        </is>
      </c>
      <c r="E9" s="9" t="n"/>
      <c r="F9" s="9" t="n"/>
      <c r="G9" s="9" t="n"/>
      <c r="H9" s="9" t="n"/>
      <c r="I9" s="9" t="n"/>
      <c r="J9" s="9" t="n"/>
    </row>
    <row r="10">
      <c r="B10" s="6" t="inlineStr">
        <is>
          <t>Annual plan = discounted monthly charge</t>
        </is>
      </c>
      <c r="C10" s="7" t="n"/>
      <c r="D10" s="8" t="inlineStr">
        <is>
          <t>Prices shown are per-month when billed annually</t>
        </is>
      </c>
      <c r="E10" s="9" t="n"/>
      <c r="F10" s="9" t="n"/>
      <c r="G10" s="9" t="n"/>
      <c r="H10" s="9" t="n"/>
      <c r="I10" s="9" t="n"/>
      <c r="J10" s="9" t="n"/>
    </row>
    <row r="11">
      <c r="B11" s="6" t="inlineStr">
        <is>
          <t>Monthly plan price formula</t>
        </is>
      </c>
      <c r="C11" s="7" t="n"/>
      <c r="D11" s="8" t="inlineStr">
        <is>
          <t>Annual Price ÷ (1 − 17%)   =   Annual Price ÷ 0.83</t>
        </is>
      </c>
      <c r="E11" s="9" t="n"/>
      <c r="F11" s="9" t="n"/>
      <c r="G11" s="9" t="n"/>
      <c r="H11" s="9" t="n"/>
      <c r="I11" s="9" t="n"/>
      <c r="J11" s="9" t="n"/>
    </row>
    <row r="12">
      <c r="B12" s="6" t="inlineStr">
        <is>
          <t>LLM cost basis — gpt-4o-mini</t>
        </is>
      </c>
      <c r="C12" s="7" t="n"/>
      <c r="D12" s="8" t="inlineStr">
        <is>
          <t>$0.15 / 1M input  ·  $0.60 / 1M output  ·  $0.075 cached input  (OpenAI list, Sep 2026; any OpenAI-compatible endpoint)</t>
        </is>
      </c>
      <c r="E12" s="9" t="n"/>
      <c r="F12" s="9" t="n"/>
      <c r="G12" s="9" t="n"/>
      <c r="H12" s="9" t="n"/>
      <c r="I12" s="9" t="n"/>
      <c r="J12" s="9" t="n"/>
    </row>
    <row r="13">
      <c r="B13" s="6" t="inlineStr">
        <is>
          <t>LLM token basis per call</t>
        </is>
      </c>
      <c r="C13" s="7" t="n"/>
      <c r="D13" s="8" t="inlineStr">
        <is>
          <t>distill_sop ≈ 1,000 in + 180 out  ⇒  $0.000258/call   ·   auto_tag ≈ 650 in + 60 out  ⇒  $0.0001335/call</t>
        </is>
      </c>
      <c r="E13" s="9" t="n"/>
      <c r="F13" s="9" t="n"/>
      <c r="G13" s="9" t="n"/>
      <c r="H13" s="9" t="n"/>
      <c r="I13" s="9" t="n"/>
      <c r="J13" s="9" t="n"/>
    </row>
    <row r="14">
      <c r="B14" s="6" t="inlineStr">
        <is>
          <t>Qdrant Cloud basis</t>
        </is>
      </c>
      <c r="C14" s="7" t="n"/>
      <c r="D14" s="8" t="inlineStr">
        <is>
          <t>Free tier 0.5 vCPU / 1 GB RAM / 4 GB disk = $0  ·  Standard = usage-based (vCPU + RAM + storage, billed hourly)</t>
        </is>
      </c>
      <c r="E14" s="9" t="n"/>
      <c r="F14" s="9" t="n"/>
      <c r="G14" s="9" t="n"/>
      <c r="H14" s="9" t="n"/>
      <c r="I14" s="9" t="n"/>
      <c r="J14" s="9" t="n"/>
    </row>
    <row r="15">
      <c r="B15" s="6" t="inlineStr">
        <is>
          <t>Embeddings / search / hosting</t>
        </is>
      </c>
      <c r="C15" s="7" t="n"/>
      <c r="D15" s="8" t="inlineStr">
        <is>
          <t>FastEmbed bge-small-en-v1.5 on-device CPU = ₹0  ·  BM25 + RRF local = ₹0  ·  self-hosted Next.js + Qdrant OSS = ₹0</t>
        </is>
      </c>
      <c r="E15" s="9" t="n"/>
      <c r="F15" s="9" t="n"/>
      <c r="G15" s="9" t="n"/>
      <c r="H15" s="9" t="n"/>
      <c r="I15" s="9" t="n"/>
      <c r="J15" s="9" t="n"/>
    </row>
    <row r="17" ht="26" customHeight="1">
      <c r="B17" s="11" t="inlineStr">
        <is>
          <t>★  Blue cells are inputs: allowances, Qdrant allocations, the USD→INR rate in D8 and the per-month charges billed annually (17% discount already applied). Everything else is a formula.</t>
        </is>
      </c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9" ht="22" customHeight="1">
      <c r="A19" s="4" t="inlineStr">
        <is>
          <t>COST BASIS (COGS) PER FLEET / MONTH   ·   CLOUD LLM + QDRANT CLOUD</t>
        </is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</row>
    <row r="20" ht="30" customHeight="1">
      <c r="B20" s="13" t="inlineStr">
        <is>
          <t>COST LINE ITEM</t>
        </is>
      </c>
      <c r="C20" s="7" t="n"/>
      <c r="D20" s="14" t="inlineStr">
        <is>
          <t>STARTER
(Low)</t>
        </is>
      </c>
      <c r="E20" s="14" t="inlineStr">
        <is>
          <t>PRO
(Mid)</t>
        </is>
      </c>
      <c r="F20" s="14" t="inlineStr">
        <is>
          <t>ENTERPRISE
(High)</t>
        </is>
      </c>
      <c r="H20" s="15" t="inlineStr">
        <is>
          <t>Edge compute and embeddings are on-device (₹0); only cloud LLM + Qdrant Cloud are metered.</t>
        </is>
      </c>
      <c r="I20" s="16" t="n"/>
      <c r="J20" s="16" t="n"/>
    </row>
    <row r="21">
      <c r="B21" s="6" t="inlineStr">
        <is>
          <t>LLM distill_sop calls included / mo</t>
        </is>
      </c>
      <c r="C21" s="7" t="n"/>
      <c r="D21" s="17" t="n">
        <v>50</v>
      </c>
      <c r="E21" s="17" t="n">
        <v>500</v>
      </c>
      <c r="F21" s="17" t="n">
        <v>2500</v>
      </c>
    </row>
    <row r="22">
      <c r="B22" s="6" t="inlineStr">
        <is>
          <t>distill_sop cost ($0.000258/call)</t>
        </is>
      </c>
      <c r="C22" s="7" t="n"/>
      <c r="D22" s="18">
        <f>D21*0.000258</f>
        <v/>
      </c>
      <c r="E22" s="18">
        <f>E21*0.000258</f>
        <v/>
      </c>
      <c r="F22" s="18">
        <f>F21*0.000258</f>
        <v/>
      </c>
    </row>
    <row r="23">
      <c r="B23" s="6" t="inlineStr">
        <is>
          <t>LLM auto_tag calls included / mo</t>
        </is>
      </c>
      <c r="C23" s="7" t="n"/>
      <c r="D23" s="17" t="n">
        <v>200</v>
      </c>
      <c r="E23" s="17" t="n">
        <v>2000</v>
      </c>
      <c r="F23" s="17" t="n">
        <v>10000</v>
      </c>
    </row>
    <row r="24">
      <c r="B24" s="6" t="inlineStr">
        <is>
          <t>auto_tag cost ($0.0001335/call)</t>
        </is>
      </c>
      <c r="C24" s="7" t="n"/>
      <c r="D24" s="18">
        <f>D23*0.0001335</f>
        <v/>
      </c>
      <c r="E24" s="18">
        <f>E23*0.0001335</f>
        <v/>
      </c>
      <c r="F24" s="18">
        <f>F23*0.0001335</f>
        <v/>
      </c>
    </row>
    <row r="25">
      <c r="B25" s="6" t="inlineStr">
        <is>
          <t>Qdrant Cloud allocation ($/mo)</t>
        </is>
      </c>
      <c r="C25" s="7" t="n"/>
      <c r="D25" s="19" t="n">
        <v>0</v>
      </c>
      <c r="E25" s="19" t="n">
        <v>20</v>
      </c>
      <c r="F25" s="19" t="n">
        <v>60</v>
      </c>
    </row>
    <row r="26">
      <c r="B26" s="6" t="inlineStr">
        <is>
          <t>Subtotal COGS ($/mo)</t>
        </is>
      </c>
      <c r="C26" s="7" t="n"/>
      <c r="D26" s="18">
        <f>D22+D24+D25</f>
        <v/>
      </c>
      <c r="E26" s="18">
        <f>E22+E24+E25</f>
        <v/>
      </c>
      <c r="F26" s="18">
        <f>F22+F24+F25</f>
        <v/>
      </c>
    </row>
    <row r="27">
      <c r="B27" s="6" t="inlineStr">
        <is>
          <t>Total estimated COGS (₹/mo)</t>
        </is>
      </c>
      <c r="C27" s="7" t="n"/>
      <c r="D27" s="20">
        <f>D26*$D$8</f>
        <v/>
      </c>
      <c r="E27" s="20">
        <f>E26*$D$8</f>
        <v/>
      </c>
      <c r="F27" s="20">
        <f>F26*$D$8</f>
        <v/>
      </c>
    </row>
    <row r="28">
      <c r="B28" s="6" t="inlineStr">
        <is>
          <t>Price — annual plan (₹/mo)</t>
        </is>
      </c>
      <c r="C28" s="7" t="n"/>
      <c r="D28" s="20">
        <f>D35</f>
        <v/>
      </c>
      <c r="E28" s="20">
        <f>E35</f>
        <v/>
      </c>
      <c r="F28" s="20">
        <f>F35</f>
        <v/>
      </c>
    </row>
    <row r="29">
      <c r="B29" s="6" t="inlineStr">
        <is>
          <t>Gross margin (%)</t>
        </is>
      </c>
      <c r="C29" s="7" t="n"/>
      <c r="D29" s="21">
        <f>(D35-D27)/D35</f>
        <v/>
      </c>
      <c r="E29" s="21">
        <f>(E35-E27)/E35</f>
        <v/>
      </c>
      <c r="F29" s="21">
        <f>(F35-F27)/F35</f>
        <v/>
      </c>
    </row>
    <row r="31" ht="22" customHeight="1">
      <c r="A31" s="4" t="inlineStr">
        <is>
          <t>PRICING TIERS  ·  ANNUAL BILLING  vs  MONTHLY BILLING</t>
        </is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</row>
    <row r="32" ht="20" customHeight="1">
      <c r="D32" s="22" t="inlineStr">
        <is>
          <t>◆  ANNUAL BILLING  (17% discount applied)</t>
        </is>
      </c>
      <c r="E32" s="23" t="n"/>
      <c r="F32" s="23" t="n"/>
      <c r="H32" s="24" t="inlineStr">
        <is>
          <t>◇  MONTHLY BILLING  (billed monthly, no discount)</t>
        </is>
      </c>
      <c r="I32" s="25" t="n"/>
      <c r="J32" s="25" t="n"/>
    </row>
    <row r="33" ht="32" customHeight="1">
      <c r="B33" s="13" t="inlineStr">
        <is>
          <t>METRIC / LINE ITEM</t>
        </is>
      </c>
      <c r="C33" s="7" t="n"/>
      <c r="D33" s="26" t="inlineStr">
        <is>
          <t>STARTER
(Low maturity)</t>
        </is>
      </c>
      <c r="E33" s="26" t="inlineStr">
        <is>
          <t>PRO
(Mid maturity)</t>
        </is>
      </c>
      <c r="F33" s="27" t="inlineStr">
        <is>
          <t>ENTERPRISE
(High maturity)</t>
        </is>
      </c>
      <c r="H33" s="28" t="inlineStr">
        <is>
          <t>STARTER
(Low maturity)</t>
        </is>
      </c>
      <c r="I33" s="28" t="inlineStr">
        <is>
          <t>PRO
(Mid maturity)</t>
        </is>
      </c>
      <c r="J33" s="29" t="inlineStr">
        <is>
          <t>ENTERPRISE
(High maturity)</t>
        </is>
      </c>
    </row>
    <row r="34">
      <c r="B34" s="6" t="inlineStr">
        <is>
          <t>Fleet Maturity Level</t>
        </is>
      </c>
      <c r="C34" s="7" t="n"/>
      <c r="D34" s="30" t="inlineStr">
        <is>
          <t>Low</t>
        </is>
      </c>
      <c r="E34" s="30" t="inlineStr">
        <is>
          <t>Mid</t>
        </is>
      </c>
      <c r="F34" s="30" t="inlineStr">
        <is>
          <t>High</t>
        </is>
      </c>
      <c r="H34" s="31" t="inlineStr">
        <is>
          <t>Low</t>
        </is>
      </c>
      <c r="I34" s="31" t="inlineStr">
        <is>
          <t>Mid</t>
        </is>
      </c>
      <c r="J34" s="31" t="inlineStr">
        <is>
          <t>High</t>
        </is>
      </c>
    </row>
    <row r="35">
      <c r="B35" s="6" t="inlineStr">
        <is>
          <t>★ Per-Month Price — Annual Plan (₹)</t>
        </is>
      </c>
      <c r="C35" s="7" t="n"/>
      <c r="D35" s="32" t="n">
        <v>1499</v>
      </c>
      <c r="E35" s="32" t="n">
        <v>5999</v>
      </c>
      <c r="F35" s="32" t="n">
        <v>14999</v>
      </c>
      <c r="H35" s="31" t="inlineStr">
        <is>
          <t>N/A (see below)</t>
        </is>
      </c>
      <c r="I35" s="31" t="inlineStr">
        <is>
          <t>N/A (see below)</t>
        </is>
      </c>
      <c r="J35" s="31" t="inlineStr">
        <is>
          <t>N/A (see below)</t>
        </is>
      </c>
    </row>
    <row r="36">
      <c r="B36" s="6" t="inlineStr">
        <is>
          <t>Per-Month Price — Annual Plan (USD)</t>
        </is>
      </c>
      <c r="C36" s="7" t="n"/>
      <c r="D36" s="18">
        <f>ROUND(D35/$D$8,0)</f>
        <v/>
      </c>
      <c r="E36" s="18">
        <f>ROUND(E35/$D$8,0)</f>
        <v/>
      </c>
      <c r="F36" s="18">
        <f>ROUND(F35/$D$8,0)</f>
        <v/>
      </c>
      <c r="H36" s="31" t="inlineStr">
        <is>
          <t>N/A (see below)</t>
        </is>
      </c>
      <c r="I36" s="31" t="inlineStr">
        <is>
          <t>N/A (see below)</t>
        </is>
      </c>
      <c r="J36" s="31" t="inlineStr">
        <is>
          <t>N/A (see below)</t>
        </is>
      </c>
    </row>
    <row r="37">
      <c r="B37" s="6" t="inlineStr">
        <is>
          <t>Annual Discount Applied</t>
        </is>
      </c>
      <c r="C37" s="7" t="n"/>
      <c r="D37" s="30" t="inlineStr">
        <is>
          <t>17%</t>
        </is>
      </c>
      <c r="E37" s="30" t="inlineStr">
        <is>
          <t>17%</t>
        </is>
      </c>
      <c r="F37" s="30" t="inlineStr">
        <is>
          <t>17%</t>
        </is>
      </c>
      <c r="H37" s="31" t="inlineStr">
        <is>
          <t>None</t>
        </is>
      </c>
      <c r="I37" s="31" t="inlineStr">
        <is>
          <t>None</t>
        </is>
      </c>
      <c r="J37" s="31" t="inlineStr">
        <is>
          <t>None</t>
        </is>
      </c>
    </row>
    <row r="38">
      <c r="B38" s="6" t="inlineStr">
        <is>
          <t>Effective Monthly Charge (₹)</t>
        </is>
      </c>
      <c r="C38" s="7" t="n"/>
      <c r="D38" s="20">
        <f>D35</f>
        <v/>
      </c>
      <c r="E38" s="20">
        <f>E35</f>
        <v/>
      </c>
      <c r="F38" s="20">
        <f>F35</f>
        <v/>
      </c>
      <c r="H38" s="33">
        <f>ROUND(D35/(1-0.17),0)</f>
        <v/>
      </c>
      <c r="I38" s="33">
        <f>ROUND(E35/(1-0.17),0)</f>
        <v/>
      </c>
      <c r="J38" s="33">
        <f>ROUND(F35/(1-0.17),0)</f>
        <v/>
      </c>
    </row>
    <row r="39">
      <c r="B39" s="6" t="inlineStr">
        <is>
          <t>Total Amount Billed Per Year (₹)</t>
        </is>
      </c>
      <c r="C39" s="7" t="n"/>
      <c r="D39" s="20">
        <f>D35*12</f>
        <v/>
      </c>
      <c r="E39" s="20">
        <f>E35*12</f>
        <v/>
      </c>
      <c r="F39" s="20">
        <f>F35*12</f>
        <v/>
      </c>
      <c r="H39" s="33">
        <f>ROUND(D35/(1-0.17),0)*12</f>
        <v/>
      </c>
      <c r="I39" s="33">
        <f>ROUND(E35/(1-0.17),0)*12</f>
        <v/>
      </c>
      <c r="J39" s="33">
        <f>ROUND(F35/(1-0.17),0)*12</f>
        <v/>
      </c>
    </row>
    <row r="40">
      <c r="B40" s="34" t="inlineStr">
        <is>
          <t>── MONTHLY BILLING PLAN ──</t>
        </is>
      </c>
      <c r="C40" s="16" t="n"/>
    </row>
    <row r="41">
      <c r="B41" s="6" t="inlineStr">
        <is>
          <t>Per-Month Price — Monthly Plan (₹)</t>
        </is>
      </c>
      <c r="C41" s="7" t="n"/>
      <c r="D41" s="31" t="inlineStr">
        <is>
          <t>—</t>
        </is>
      </c>
      <c r="E41" s="31" t="inlineStr">
        <is>
          <t>—</t>
        </is>
      </c>
      <c r="F41" s="31" t="inlineStr">
        <is>
          <t>—</t>
        </is>
      </c>
      <c r="H41" s="33">
        <f>ROUND(D35/(1-0.17),0)</f>
        <v/>
      </c>
      <c r="I41" s="33">
        <f>ROUND(E35/(1-0.17),0)</f>
        <v/>
      </c>
      <c r="J41" s="33">
        <f>ROUND(F35/(1-0.17),0)</f>
        <v/>
      </c>
    </row>
    <row r="42">
      <c r="B42" s="6" t="inlineStr">
        <is>
          <t>Annual Equivalent Cost (×12) (₹)</t>
        </is>
      </c>
      <c r="C42" s="7" t="n"/>
      <c r="D42" s="31" t="inlineStr">
        <is>
          <t>—</t>
        </is>
      </c>
      <c r="E42" s="31" t="inlineStr">
        <is>
          <t>—</t>
        </is>
      </c>
      <c r="F42" s="31" t="inlineStr">
        <is>
          <t>—</t>
        </is>
      </c>
      <c r="H42" s="33">
        <f>ROUND(D35/(1-0.17),0)*12</f>
        <v/>
      </c>
      <c r="I42" s="33">
        <f>ROUND(E35/(1-0.17),0)*12</f>
        <v/>
      </c>
      <c r="J42" s="33">
        <f>ROUND(F35/(1-0.17),0)*12</f>
        <v/>
      </c>
    </row>
    <row r="43">
      <c r="B43" s="34" t="inlineStr">
        <is>
          <t>── SAVINGS ANALYSIS ──</t>
        </is>
      </c>
      <c r="C43" s="16" t="n"/>
    </row>
    <row r="44">
      <c r="B44" s="6" t="inlineStr">
        <is>
          <t>You Save Per Year by Billing Annually (₹)</t>
        </is>
      </c>
      <c r="C44" s="7" t="n"/>
      <c r="D44" s="35">
        <f>ROUND(D35/(1-0.17),0)*12-D35*12</f>
        <v/>
      </c>
      <c r="E44" s="35">
        <f>ROUND(E35/(1-0.17),0)*12-E35*12</f>
        <v/>
      </c>
      <c r="F44" s="35">
        <f>ROUND(F35/(1-0.17),0)*12-F35*12</f>
        <v/>
      </c>
      <c r="H44" s="31" t="inlineStr">
        <is>
          <t>—</t>
        </is>
      </c>
      <c r="I44" s="31" t="inlineStr">
        <is>
          <t>—</t>
        </is>
      </c>
      <c r="J44" s="31" t="inlineStr">
        <is>
          <t>—</t>
        </is>
      </c>
    </row>
    <row r="45">
      <c r="B45" s="6" t="inlineStr">
        <is>
          <t>Discount Captured  (%)</t>
        </is>
      </c>
      <c r="C45" s="7" t="n"/>
      <c r="D45" s="21">
        <f>(ROUND(D35/(1-0.17),0)*12-D35*12)/(ROUND(D35/(1-0.17),0)*12)</f>
        <v/>
      </c>
      <c r="E45" s="21">
        <f>(ROUND(E35/(1-0.17),0)*12-E35*12)/(ROUND(E35/(1-0.17),0)*12)</f>
        <v/>
      </c>
      <c r="F45" s="21">
        <f>(ROUND(F35/(1-0.17),0)*12-F35*12)/(ROUND(F35/(1-0.17),0)*12)</f>
        <v/>
      </c>
      <c r="H45" s="31" t="inlineStr">
        <is>
          <t>—</t>
        </is>
      </c>
      <c r="I45" s="31" t="inlineStr">
        <is>
          <t>—</t>
        </is>
      </c>
      <c r="J45" s="31" t="inlineStr">
        <is>
          <t>—</t>
        </is>
      </c>
    </row>
    <row r="46" ht="22" customHeight="1">
      <c r="B46" s="11" t="inlineStr">
        <is>
          <t>★  USD row converts the ₹ price at the rate in D8 — retype D8 and the whole USD column re-prices.  Monthly column = Annual ÷ 0.83.</t>
        </is>
      </c>
      <c r="C46" s="12" t="n"/>
      <c r="D46" s="12" t="n"/>
      <c r="E46" s="12" t="n"/>
      <c r="F46" s="12" t="n"/>
      <c r="G46" s="12" t="n"/>
      <c r="H46" s="12" t="n"/>
      <c r="I46" s="12" t="n"/>
      <c r="J46" s="12" t="n"/>
    </row>
    <row r="48" ht="22" customHeight="1">
      <c r="A48" s="4" t="inlineStr">
        <is>
          <t>QUICK REFERENCE  ·  PRICE SUMMARY</t>
        </is>
      </c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</row>
    <row r="49" ht="30" customHeight="1">
      <c r="B49" s="14" t="inlineStr">
        <is>
          <t>Tier</t>
        </is>
      </c>
      <c r="C49" s="36" t="n"/>
      <c r="D49" s="26" t="inlineStr">
        <is>
          <t>Per Month (Annual, ₹)</t>
        </is>
      </c>
      <c r="E49" s="37" t="n"/>
      <c r="F49" s="27" t="inlineStr">
        <is>
          <t>Total Per Year (₹)</t>
        </is>
      </c>
      <c r="G49" s="38" t="n"/>
      <c r="H49" s="28" t="inlineStr">
        <is>
          <t>Per Month (Annual, USD)</t>
        </is>
      </c>
      <c r="I49" s="39" t="n"/>
      <c r="J49" s="29" t="inlineStr">
        <is>
          <t>You Save / Year (₹)</t>
        </is>
      </c>
      <c r="K49" s="40" t="n"/>
    </row>
    <row r="50" ht="20" customHeight="1">
      <c r="B50" s="14" t="inlineStr">
        <is>
          <t>STARTER</t>
        </is>
      </c>
      <c r="C50" s="36" t="n"/>
      <c r="D50" s="41">
        <f>D35</f>
        <v/>
      </c>
      <c r="E50" s="42" t="n"/>
      <c r="F50" s="43">
        <f>D35*12</f>
        <v/>
      </c>
      <c r="G50" s="42" t="n"/>
      <c r="H50" s="44">
        <f>ROUND(D35/$D$8,0)</f>
        <v/>
      </c>
      <c r="I50" s="42" t="n"/>
      <c r="J50" s="45">
        <f>ROUND(D35/(1-0.17),0)*12-D35*12</f>
        <v/>
      </c>
      <c r="K50" s="42" t="n"/>
    </row>
    <row r="51" ht="20" customHeight="1">
      <c r="B51" s="14" t="inlineStr">
        <is>
          <t>PRO</t>
        </is>
      </c>
      <c r="C51" s="36" t="n"/>
      <c r="D51" s="41">
        <f>E35</f>
        <v/>
      </c>
      <c r="E51" s="42" t="n"/>
      <c r="F51" s="43">
        <f>E35*12</f>
        <v/>
      </c>
      <c r="G51" s="42" t="n"/>
      <c r="H51" s="44">
        <f>ROUND(E35/$D$8,0)</f>
        <v/>
      </c>
      <c r="I51" s="42" t="n"/>
      <c r="J51" s="45">
        <f>ROUND(E35/(1-0.17),0)*12-E35*12</f>
        <v/>
      </c>
      <c r="K51" s="42" t="n"/>
    </row>
    <row r="52" ht="20" customHeight="1">
      <c r="B52" s="14" t="inlineStr">
        <is>
          <t>ENTERPRISE</t>
        </is>
      </c>
      <c r="C52" s="36" t="n"/>
      <c r="D52" s="41">
        <f>F35</f>
        <v/>
      </c>
      <c r="E52" s="42" t="n"/>
      <c r="F52" s="43">
        <f>F35*12</f>
        <v/>
      </c>
      <c r="G52" s="42" t="n"/>
      <c r="H52" s="44">
        <f>ROUND(F35/$D$8,0)</f>
        <v/>
      </c>
      <c r="I52" s="42" t="n"/>
      <c r="J52" s="45">
        <f>ROUND(F35/(1-0.17),0)*12-F35*12</f>
        <v/>
      </c>
      <c r="K52" s="42" t="n"/>
    </row>
    <row r="54" ht="22" customHeight="1">
      <c r="A54" s="4" t="inlineStr">
        <is>
          <t>TIER FEATURE OVERVIEW</t>
        </is>
      </c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</row>
    <row r="55" ht="24" customHeight="1">
      <c r="B55" s="14" t="inlineStr">
        <is>
          <t>Feature / Capability</t>
        </is>
      </c>
      <c r="C55" s="36" t="n"/>
      <c r="D55" s="14" t="inlineStr">
        <is>
          <t>STARTER (Low)</t>
        </is>
      </c>
      <c r="E55" s="36" t="n"/>
      <c r="F55" s="46" t="inlineStr">
        <is>
          <t>PRO (Mid)</t>
        </is>
      </c>
      <c r="G55" s="47" t="n"/>
      <c r="H55" s="48" t="inlineStr">
        <is>
          <t>ENTERPRISE (High)</t>
        </is>
      </c>
      <c r="I55" s="49" t="n"/>
      <c r="J55" s="49" t="n"/>
    </row>
    <row r="56" ht="18" customHeight="1">
      <c r="B56" s="6" t="inlineStr">
        <is>
          <t>Devices / edge-engine instances</t>
        </is>
      </c>
      <c r="C56" s="7" t="n"/>
      <c r="D56" s="50" t="inlineStr">
        <is>
          <t>1</t>
        </is>
      </c>
      <c r="E56" s="42" t="n"/>
      <c r="F56" s="46" t="inlineStr">
        <is>
          <t>5</t>
        </is>
      </c>
      <c r="G56" s="42" t="n"/>
      <c r="H56" s="48" t="inlineStr">
        <is>
          <t>Unlimited</t>
        </is>
      </c>
      <c r="I56" s="51" t="n"/>
      <c r="J56" s="42" t="n"/>
    </row>
    <row r="57" ht="18" customHeight="1">
      <c r="B57" s="6" t="inlineStr">
        <is>
          <t>Points stored (384d dense + sparse)</t>
        </is>
      </c>
      <c r="C57" s="7" t="n"/>
      <c r="D57" s="50" t="inlineStr">
        <is>
          <t>50,000</t>
        </is>
      </c>
      <c r="E57" s="42" t="n"/>
      <c r="F57" s="46" t="inlineStr">
        <is>
          <t>1,000,000</t>
        </is>
      </c>
      <c r="G57" s="42" t="n"/>
      <c r="H57" s="48" t="inlineStr">
        <is>
          <t>Unlimited</t>
        </is>
      </c>
      <c r="I57" s="51" t="n"/>
      <c r="J57" s="42" t="n"/>
    </row>
    <row r="58" ht="18" customHeight="1">
      <c r="B58" s="6" t="inlineStr">
        <is>
          <t>Hybrid search — dense + BM25, RRF fusion</t>
        </is>
      </c>
      <c r="C58" s="7" t="n"/>
      <c r="D58" s="50" t="inlineStr">
        <is>
          <t>✔</t>
        </is>
      </c>
      <c r="E58" s="42" t="n"/>
      <c r="F58" s="46" t="inlineStr">
        <is>
          <t>✔</t>
        </is>
      </c>
      <c r="G58" s="42" t="n"/>
      <c r="H58" s="48" t="inlineStr">
        <is>
          <t>✔</t>
        </is>
      </c>
      <c r="I58" s="51" t="n"/>
      <c r="J58" s="42" t="n"/>
    </row>
    <row r="59" ht="18" customHeight="1">
      <c r="B59" s="6" t="inlineStr">
        <is>
          <t>Payload filters + per-result score breakdown</t>
        </is>
      </c>
      <c r="C59" s="7" t="n"/>
      <c r="D59" s="50" t="inlineStr">
        <is>
          <t>✔</t>
        </is>
      </c>
      <c r="E59" s="42" t="n"/>
      <c r="F59" s="46" t="inlineStr">
        <is>
          <t>✔</t>
        </is>
      </c>
      <c r="G59" s="42" t="n"/>
      <c r="H59" s="48" t="inlineStr">
        <is>
          <t>✔</t>
        </is>
      </c>
      <c r="I59" s="51" t="n"/>
      <c r="J59" s="42" t="n"/>
    </row>
    <row r="60" ht="18" customHeight="1">
      <c r="B60" s="6" t="inlineStr">
        <is>
          <t>Residency policy (local_only enforcement)</t>
        </is>
      </c>
      <c r="C60" s="7" t="n"/>
      <c r="D60" s="50" t="inlineStr">
        <is>
          <t>✔</t>
        </is>
      </c>
      <c r="E60" s="42" t="n"/>
      <c r="F60" s="46" t="inlineStr">
        <is>
          <t>✔</t>
        </is>
      </c>
      <c r="G60" s="42" t="n"/>
      <c r="H60" s="48" t="inlineStr">
        <is>
          <t>✔</t>
        </is>
      </c>
      <c r="I60" s="51" t="n"/>
      <c r="J60" s="42" t="n"/>
    </row>
    <row r="61" ht="18" customHeight="1">
      <c r="B61" s="6" t="inlineStr">
        <is>
          <t>Federation (FEDERATED_PEERS probing)</t>
        </is>
      </c>
      <c r="C61" s="7" t="n"/>
      <c r="D61" s="50" t="inlineStr">
        <is>
          <t>1 peer</t>
        </is>
      </c>
      <c r="E61" s="42" t="n"/>
      <c r="F61" s="46" t="inlineStr">
        <is>
          <t>5 peers</t>
        </is>
      </c>
      <c r="G61" s="42" t="n"/>
      <c r="H61" s="48" t="inlineStr">
        <is>
          <t>Unlimited</t>
        </is>
      </c>
      <c r="I61" s="51" t="n"/>
      <c r="J61" s="42" t="n"/>
    </row>
    <row r="62" ht="18" customHeight="1">
      <c r="B62" s="6" t="inlineStr">
        <is>
          <t>Snapshot handoff (export / import v1)</t>
        </is>
      </c>
      <c r="C62" s="7" t="n"/>
      <c r="D62" s="50" t="inlineStr">
        <is>
          <t>—</t>
        </is>
      </c>
      <c r="E62" s="42" t="n"/>
      <c r="F62" s="46" t="inlineStr">
        <is>
          <t>✔</t>
        </is>
      </c>
      <c r="G62" s="42" t="n"/>
      <c r="H62" s="48" t="inlineStr">
        <is>
          <t>✔</t>
        </is>
      </c>
      <c r="I62" s="51" t="n"/>
      <c r="J62" s="42" t="n"/>
    </row>
    <row r="63" ht="18" customHeight="1">
      <c r="B63" s="6" t="inlineStr">
        <is>
          <t>Cloud browser (Qdrant collections)</t>
        </is>
      </c>
      <c r="C63" s="7" t="n"/>
      <c r="D63" s="50" t="inlineStr">
        <is>
          <t>✔</t>
        </is>
      </c>
      <c r="E63" s="42" t="n"/>
      <c r="F63" s="46" t="inlineStr">
        <is>
          <t>✔</t>
        </is>
      </c>
      <c r="G63" s="42" t="n"/>
      <c r="H63" s="48" t="inlineStr">
        <is>
          <t>✔</t>
        </is>
      </c>
      <c r="I63" s="51" t="n"/>
      <c r="J63" s="42" t="n"/>
    </row>
    <row r="64" ht="18" customHeight="1">
      <c r="B64" s="6" t="inlineStr">
        <is>
          <t>Live fleet metrics (SSE) + TTL retention</t>
        </is>
      </c>
      <c r="C64" s="7" t="n"/>
      <c r="D64" s="50" t="inlineStr">
        <is>
          <t>✔</t>
        </is>
      </c>
      <c r="E64" s="42" t="n"/>
      <c r="F64" s="46" t="inlineStr">
        <is>
          <t>✔</t>
        </is>
      </c>
      <c r="G64" s="42" t="n"/>
      <c r="H64" s="48" t="inlineStr">
        <is>
          <t>✔</t>
        </is>
      </c>
      <c r="I64" s="51" t="n"/>
      <c r="J64" s="42" t="n"/>
    </row>
    <row r="65" ht="18" customHeight="1">
      <c r="B65" s="6" t="inlineStr">
        <is>
          <t>Search playground</t>
        </is>
      </c>
      <c r="C65" s="7" t="n"/>
      <c r="D65" s="50" t="inlineStr">
        <is>
          <t>✔</t>
        </is>
      </c>
      <c r="E65" s="42" t="n"/>
      <c r="F65" s="46" t="inlineStr">
        <is>
          <t>✔</t>
        </is>
      </c>
      <c r="G65" s="42" t="n"/>
      <c r="H65" s="48" t="inlineStr">
        <is>
          <t>✔</t>
        </is>
      </c>
      <c r="I65" s="51" t="n"/>
      <c r="J65" s="42" t="n"/>
    </row>
    <row r="66" ht="18" customHeight="1">
      <c r="B66" s="6" t="inlineStr">
        <is>
          <t>LLM distill → SOP (online)</t>
        </is>
      </c>
      <c r="C66" s="7" t="n"/>
      <c r="D66" s="50" t="inlineStr">
        <is>
          <t>50 / mo</t>
        </is>
      </c>
      <c r="E66" s="42" t="n"/>
      <c r="F66" s="46" t="inlineStr">
        <is>
          <t>500 / mo</t>
        </is>
      </c>
      <c r="G66" s="42" t="n"/>
      <c r="H66" s="48" t="inlineStr">
        <is>
          <t>2,500 / mo</t>
        </is>
      </c>
      <c r="I66" s="51" t="n"/>
      <c r="J66" s="42" t="n"/>
    </row>
    <row r="67" ht="18" customHeight="1">
      <c r="B67" s="6" t="inlineStr">
        <is>
          <t>LLM auto-tag criticality / sensitivity</t>
        </is>
      </c>
      <c r="C67" s="7" t="n"/>
      <c r="D67" s="50" t="inlineStr">
        <is>
          <t>200 / mo</t>
        </is>
      </c>
      <c r="E67" s="42" t="n"/>
      <c r="F67" s="46" t="inlineStr">
        <is>
          <t>2,000 / mo</t>
        </is>
      </c>
      <c r="G67" s="42" t="n"/>
      <c r="H67" s="48" t="inlineStr">
        <is>
          <t>10,000 / mo</t>
        </is>
      </c>
      <c r="I67" s="51" t="n"/>
      <c r="J67" s="42" t="n"/>
    </row>
    <row r="68" ht="18" customHeight="1">
      <c r="B68" s="6" t="inlineStr">
        <is>
          <t>Qdrant backend</t>
        </is>
      </c>
      <c r="C68" s="7" t="n"/>
      <c r="D68" s="50" t="inlineStr">
        <is>
          <t>Free tier</t>
        </is>
      </c>
      <c r="E68" s="42" t="n"/>
      <c r="F68" s="46" t="inlineStr">
        <is>
          <t>Standard 1 vCPU / 2 GB</t>
        </is>
      </c>
      <c r="G68" s="42" t="n"/>
      <c r="H68" s="48" t="inlineStr">
        <is>
          <t>Standard 2 vCPU / 4 GB</t>
        </is>
      </c>
      <c r="I68" s="51" t="n"/>
      <c r="J68" s="42" t="n"/>
    </row>
    <row r="69" ht="18" customHeight="1">
      <c r="B69" s="6" t="inlineStr">
        <is>
          <t>On-device embeddings (FastEmbed bge-small)</t>
        </is>
      </c>
      <c r="C69" s="7" t="n"/>
      <c r="D69" s="50" t="inlineStr">
        <is>
          <t>✔</t>
        </is>
      </c>
      <c r="E69" s="42" t="n"/>
      <c r="F69" s="46" t="inlineStr">
        <is>
          <t>✔</t>
        </is>
      </c>
      <c r="G69" s="42" t="n"/>
      <c r="H69" s="48" t="inlineStr">
        <is>
          <t>✔</t>
        </is>
      </c>
      <c r="I69" s="51" t="n"/>
      <c r="J69" s="42" t="n"/>
    </row>
    <row r="70" ht="18" customHeight="1">
      <c r="B70" s="6" t="inlineStr">
        <is>
          <t>SSO / RBAC / audit log</t>
        </is>
      </c>
      <c r="C70" s="7" t="n"/>
      <c r="D70" s="50" t="inlineStr">
        <is>
          <t>—</t>
        </is>
      </c>
      <c r="E70" s="42" t="n"/>
      <c r="F70" s="46" t="inlineStr">
        <is>
          <t>—</t>
        </is>
      </c>
      <c r="G70" s="42" t="n"/>
      <c r="H70" s="48" t="inlineStr">
        <is>
          <t>Phase 2</t>
        </is>
      </c>
      <c r="I70" s="51" t="n"/>
      <c r="J70" s="42" t="n"/>
    </row>
    <row r="71" ht="18" customHeight="1">
      <c r="B71" s="6" t="inlineStr">
        <is>
          <t>Support</t>
        </is>
      </c>
      <c r="C71" s="7" t="n"/>
      <c r="D71" s="50" t="inlineStr">
        <is>
          <t>Community</t>
        </is>
      </c>
      <c r="E71" s="42" t="n"/>
      <c r="F71" s="46" t="inlineStr">
        <is>
          <t>Email</t>
        </is>
      </c>
      <c r="G71" s="42" t="n"/>
      <c r="H71" s="48" t="inlineStr">
        <is>
          <t>Dedicated + SLA</t>
        </is>
      </c>
      <c r="I71" s="51" t="n"/>
      <c r="J71" s="42" t="n"/>
    </row>
    <row r="73" ht="22" customHeight="1">
      <c r="A73" s="4" t="inlineStr">
        <is>
          <t>PHASE 2 PRICING TRAJECTORY  (SSO · Audit trail · Public API · Hybrid Cloud residency)</t>
        </is>
      </c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</row>
    <row r="74" ht="20" customHeight="1">
      <c r="B74" s="52" t="inlineStr">
        <is>
          <t>Trigger</t>
        </is>
      </c>
      <c r="C74" s="47" t="n"/>
      <c r="D74" s="53" t="inlineStr">
        <is>
          <t>50 paying fleets + public API pilot + data-residency pilots closed</t>
        </is>
      </c>
      <c r="E74" s="7" t="n"/>
      <c r="F74" s="7" t="n"/>
      <c r="G74" s="7" t="n"/>
      <c r="H74" s="7" t="n"/>
      <c r="I74" s="7" t="n"/>
      <c r="J74" s="7" t="n"/>
    </row>
    <row r="75" ht="20" customHeight="1">
      <c r="B75" s="52" t="inlineStr">
        <is>
          <t>Expected Uplift</t>
        </is>
      </c>
      <c r="C75" s="47" t="n"/>
      <c r="D75" s="53" t="inlineStr">
        <is>
          <t>Prices rise once SSO, RBAC, the audit log and the public API ship — regulated-industry deployments pay for residency + compliance</t>
        </is>
      </c>
      <c r="E75" s="7" t="n"/>
      <c r="F75" s="7" t="n"/>
      <c r="G75" s="7" t="n"/>
      <c r="H75" s="7" t="n"/>
      <c r="I75" s="7" t="n"/>
      <c r="J75" s="7" t="n"/>
    </row>
    <row r="76" ht="20" customHeight="1">
      <c r="B76" s="52" t="inlineStr">
        <is>
          <t>Starter Phase 2</t>
        </is>
      </c>
      <c r="C76" s="47" t="n"/>
      <c r="D76" s="53" t="inlineStr">
        <is>
          <t>₹1,499/mo  →  ₹2,000–₹2,500/mo  (public API + 500 distill/mo)</t>
        </is>
      </c>
      <c r="E76" s="7" t="n"/>
      <c r="F76" s="7" t="n"/>
      <c r="G76" s="7" t="n"/>
      <c r="H76" s="7" t="n"/>
      <c r="I76" s="7" t="n"/>
      <c r="J76" s="7" t="n"/>
    </row>
    <row r="77" ht="20" customHeight="1">
      <c r="B77" s="52" t="inlineStr">
        <is>
          <t>Pro Phase 2</t>
        </is>
      </c>
      <c r="C77" s="47" t="n"/>
      <c r="D77" s="53" t="inlineStr">
        <is>
          <t>₹5,999/mo  →  ₹9,000–₹11,000/mo  (SSO + audit trail + 10k auto-tag/mo)</t>
        </is>
      </c>
      <c r="E77" s="7" t="n"/>
      <c r="F77" s="7" t="n"/>
      <c r="G77" s="7" t="n"/>
      <c r="H77" s="7" t="n"/>
      <c r="I77" s="7" t="n"/>
      <c r="J77" s="7" t="n"/>
    </row>
    <row r="78" ht="20" customHeight="1">
      <c r="B78" s="52" t="inlineStr">
        <is>
          <t>Enterprise Phase 2</t>
        </is>
      </c>
      <c r="C78" s="47" t="n"/>
      <c r="D78" s="53" t="inlineStr">
        <is>
          <t>₹14,999/mo  →  ₹24,000–₹29,000/mo  (Qdrant Hybrid Cloud data-residency + verifier workflow + 99.9% SLA)</t>
        </is>
      </c>
      <c r="E78" s="7" t="n"/>
      <c r="F78" s="7" t="n"/>
      <c r="G78" s="7" t="n"/>
      <c r="H78" s="7" t="n"/>
      <c r="I78" s="7" t="n"/>
      <c r="J78" s="7" t="n"/>
    </row>
    <row r="79" ht="20" customHeight="1">
      <c r="B79" s="52" t="inlineStr">
        <is>
          <t>Rationale</t>
        </is>
      </c>
      <c r="C79" s="47" t="n"/>
      <c r="D79" s="53" t="inlineStr">
        <is>
          <t>SSO/RBAC · immutable audit log · public API · Hybrid Cloud (data stays on your infra) · 99.9% uptime SLA</t>
        </is>
      </c>
      <c r="E79" s="7" t="n"/>
      <c r="F79" s="7" t="n"/>
      <c r="G79" s="7" t="n"/>
      <c r="H79" s="7" t="n"/>
      <c r="I79" s="7" t="n"/>
      <c r="J79" s="7" t="n"/>
    </row>
    <row r="81" ht="18" customHeight="1">
      <c r="A81" s="54" t="inlineStr">
        <is>
          <t>EDGE.MEM  ·  Offline-first hybrid-search memory for industrial edge devices  ·  Phase 1 Subscription Pricing  ·  All prices in INR (₹); USD indicative at the rate in D8  ·  Subject to revision as product scales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</row>
  </sheetData>
  <mergeCells count="157">
    <mergeCell ref="D60:E60"/>
    <mergeCell ref="F68:G68"/>
    <mergeCell ref="A73:K73"/>
    <mergeCell ref="B22:C22"/>
    <mergeCell ref="H69:J69"/>
    <mergeCell ref="B12:C12"/>
    <mergeCell ref="B77:C77"/>
    <mergeCell ref="B21:C21"/>
    <mergeCell ref="A54:K54"/>
    <mergeCell ref="H66:J66"/>
    <mergeCell ref="B67:C67"/>
    <mergeCell ref="B61:C61"/>
    <mergeCell ref="B14:C14"/>
    <mergeCell ref="D61:E61"/>
    <mergeCell ref="D10:J10"/>
    <mergeCell ref="D70:E70"/>
    <mergeCell ref="F70:G70"/>
    <mergeCell ref="H52:I52"/>
    <mergeCell ref="B13:C13"/>
    <mergeCell ref="B69:C69"/>
    <mergeCell ref="B38:C38"/>
    <mergeCell ref="B78:C78"/>
    <mergeCell ref="A2:K2"/>
    <mergeCell ref="D62:E62"/>
    <mergeCell ref="B40:C40"/>
    <mergeCell ref="D56:E56"/>
    <mergeCell ref="D71:E71"/>
    <mergeCell ref="D11:J11"/>
    <mergeCell ref="B49:C49"/>
    <mergeCell ref="F56:G56"/>
    <mergeCell ref="F71:G71"/>
    <mergeCell ref="D76:J76"/>
    <mergeCell ref="B55:C55"/>
    <mergeCell ref="B24:C24"/>
    <mergeCell ref="B64:C64"/>
    <mergeCell ref="B33:C33"/>
    <mergeCell ref="D64:E64"/>
    <mergeCell ref="B51:C51"/>
    <mergeCell ref="D75:J75"/>
    <mergeCell ref="D51:E51"/>
    <mergeCell ref="A19:K19"/>
    <mergeCell ref="H58:J58"/>
    <mergeCell ref="B63:C63"/>
    <mergeCell ref="B26:C26"/>
    <mergeCell ref="B41:C41"/>
    <mergeCell ref="B35:C35"/>
    <mergeCell ref="F57:G57"/>
    <mergeCell ref="H64:J64"/>
    <mergeCell ref="A48:K48"/>
    <mergeCell ref="H60:J60"/>
    <mergeCell ref="B25:C25"/>
    <mergeCell ref="D9:J9"/>
    <mergeCell ref="F63:G63"/>
    <mergeCell ref="B66:C66"/>
    <mergeCell ref="H50:I50"/>
    <mergeCell ref="D15:J15"/>
    <mergeCell ref="B27:C27"/>
    <mergeCell ref="B11:C11"/>
    <mergeCell ref="D79:J79"/>
    <mergeCell ref="H57:J57"/>
    <mergeCell ref="H49:I49"/>
    <mergeCell ref="J49:K49"/>
    <mergeCell ref="D66:E66"/>
    <mergeCell ref="F66:G66"/>
    <mergeCell ref="B29:C29"/>
    <mergeCell ref="F62:G62"/>
    <mergeCell ref="B37:C37"/>
    <mergeCell ref="H67:J67"/>
    <mergeCell ref="H20:J20"/>
    <mergeCell ref="F61:G61"/>
    <mergeCell ref="B6:C6"/>
    <mergeCell ref="B15:C15"/>
    <mergeCell ref="J51:K51"/>
    <mergeCell ref="B79:C79"/>
    <mergeCell ref="H59:J59"/>
    <mergeCell ref="F64:G64"/>
    <mergeCell ref="B7:C7"/>
    <mergeCell ref="D63:E63"/>
    <mergeCell ref="D32:F32"/>
    <mergeCell ref="D12:J12"/>
    <mergeCell ref="D74:J74"/>
    <mergeCell ref="B17:J17"/>
    <mergeCell ref="H61:J61"/>
    <mergeCell ref="H70:J70"/>
    <mergeCell ref="B56:C56"/>
    <mergeCell ref="B71:C71"/>
    <mergeCell ref="D65:E65"/>
    <mergeCell ref="B43:C43"/>
    <mergeCell ref="B58:C58"/>
    <mergeCell ref="D14:J14"/>
    <mergeCell ref="B52:C52"/>
    <mergeCell ref="H32:J32"/>
    <mergeCell ref="D52:E52"/>
    <mergeCell ref="D49:E49"/>
    <mergeCell ref="B42:C42"/>
    <mergeCell ref="H65:J65"/>
    <mergeCell ref="B60:C60"/>
    <mergeCell ref="F50:G50"/>
    <mergeCell ref="B57:C57"/>
    <mergeCell ref="H71:J71"/>
    <mergeCell ref="B44:C44"/>
    <mergeCell ref="B5:J5"/>
    <mergeCell ref="B34:C34"/>
    <mergeCell ref="B28:C28"/>
    <mergeCell ref="B9:C9"/>
    <mergeCell ref="H63:J63"/>
    <mergeCell ref="D55:E55"/>
    <mergeCell ref="J50:K50"/>
    <mergeCell ref="B46:J46"/>
    <mergeCell ref="B20:C20"/>
    <mergeCell ref="D67:E67"/>
    <mergeCell ref="D7:J7"/>
    <mergeCell ref="B45:C45"/>
    <mergeCell ref="H55:J55"/>
    <mergeCell ref="F49:G49"/>
    <mergeCell ref="B76:C76"/>
    <mergeCell ref="J52:K52"/>
    <mergeCell ref="B75:C75"/>
    <mergeCell ref="D69:E69"/>
    <mergeCell ref="F69:G69"/>
    <mergeCell ref="B62:C62"/>
    <mergeCell ref="B59:C59"/>
    <mergeCell ref="F65:G65"/>
    <mergeCell ref="D8:J8"/>
    <mergeCell ref="B39:C39"/>
    <mergeCell ref="F59:G59"/>
    <mergeCell ref="B70:C70"/>
    <mergeCell ref="F55:G55"/>
    <mergeCell ref="D57:E57"/>
    <mergeCell ref="F51:G51"/>
    <mergeCell ref="B23:C23"/>
    <mergeCell ref="H51:I51"/>
    <mergeCell ref="B8:C8"/>
    <mergeCell ref="H62:J62"/>
    <mergeCell ref="A3:K3"/>
    <mergeCell ref="B10:C10"/>
    <mergeCell ref="D6:J6"/>
    <mergeCell ref="D77:J77"/>
    <mergeCell ref="D58:E58"/>
    <mergeCell ref="D13:J13"/>
    <mergeCell ref="F58:G58"/>
    <mergeCell ref="B65:C65"/>
    <mergeCell ref="F52:G52"/>
    <mergeCell ref="F67:G67"/>
    <mergeCell ref="B74:C74"/>
    <mergeCell ref="B68:C68"/>
    <mergeCell ref="D68:E68"/>
    <mergeCell ref="F60:G60"/>
    <mergeCell ref="A81:K81"/>
    <mergeCell ref="B36:C36"/>
    <mergeCell ref="B50:C50"/>
    <mergeCell ref="D78:J78"/>
    <mergeCell ref="D50:E50"/>
    <mergeCell ref="H56:J56"/>
    <mergeCell ref="H68:J68"/>
    <mergeCell ref="D59:E59"/>
    <mergeCell ref="A31:K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2026-09-29T10:14:39Z</dcterms:created>
  <dcterms:modified xsi:type="dcterms:W3CDTF">2026-09-29T10:14:39Z</dcterms:modified>
</cp:coreProperties>
</file>