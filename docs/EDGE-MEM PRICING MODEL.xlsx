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geMem Pric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<sst xmlns="http://schemas.openxmlformats.org/spreadsheetml/2006/main" count="183" uniqueCount="129">
  <si>
    <t xml:space="preserve">EDGE.MEM  ·  SUBSCRIPTION PRICING MODEL</t>
  </si>
  <si>
    <t xml:space="preserve">Offline-First Hybrid-Search Memory for Industrial Edge Devices  ||  Edge works offline; cloud adds LLM synthesis + shared retrieval  ||  Phase 1 Pricing</t>
  </si>
  <si>
    <t xml:space="preserve">MODEL ASSUMPTIONS</t>
  </si>
  <si>
    <t xml:space="preserve">Annual Billing Discount</t>
  </si>
  <si>
    <t xml:space="preserve">17%</t>
  </si>
  <si>
    <t xml:space="preserve">Primary Currency</t>
  </si>
  <si>
    <t xml:space="preserve">INR (₹)   —   USD shown as an indicative conversion</t>
  </si>
  <si>
    <t xml:space="preserve">USD → INR Rate (editable)</t>
  </si>
  <si>
    <t xml:space="preserve">Billing Cycle Options</t>
  </si>
  <si>
    <t xml:space="preserve">Monthly Billing   |   Annual Billing</t>
  </si>
  <si>
    <t xml:space="preserve">Annual plan = discounted monthly charge</t>
  </si>
  <si>
    <t xml:space="preserve">Prices shown are per-month when billed annually</t>
  </si>
  <si>
    <t xml:space="preserve">Monthly plan price formula</t>
  </si>
  <si>
    <t xml:space="preserve">Annual Price ÷ (1 − 17%)   =   Annual Price ÷ 0.83</t>
  </si>
  <si>
    <t xml:space="preserve">LLM cost basis — gpt-4o-mini</t>
  </si>
  <si>
    <t xml:space="preserve">$0.15 / 1M input  ·  $0.60 / 1M output  ·  $0.075 cached input  (OpenAI list, Sep 2026; any OpenAI-compatible endpoint)</t>
  </si>
  <si>
    <t xml:space="preserve">LLM token basis per call</t>
  </si>
  <si>
    <t xml:space="preserve">distill_sop ≈ 1,000 in + 180 out  ⇒  $0.000258/call   ·   auto_tag ≈ 650 in + 60 out  ⇒  $0.0001335/call</t>
  </si>
  <si>
    <t xml:space="preserve">Qdrant Cloud basis</t>
  </si>
  <si>
    <t xml:space="preserve">Free tier 0.5 vCPU / 1 GB RAM / 4 GB disk = $0  ·  Standard = usage-based (vCPU + RAM + storage, billed hourly)</t>
  </si>
  <si>
    <t xml:space="preserve">Embeddings / search / hosting</t>
  </si>
  <si>
    <t xml:space="preserve">FastEmbed bge-small-en-v1.5 on-device CPU = ₹0  ·  BM25 + RRF local = ₹0  ·  self-hosted Next.js + Qdrant OSS = ₹0</t>
  </si>
  <si>
    <t xml:space="preserve">★  Blue cells are inputs: allowances, Qdrant allocations, the USD→INR rate in D8 and the per-month charges billed annually (17% discount already applied). Everything else is a formula.</t>
  </si>
  <si>
    <t xml:space="preserve">COST BASIS (COGS) PER FLEET / MONTH   ·   CLOUD LLM + QDRANT CLOUD</t>
  </si>
  <si>
    <t xml:space="preserve">COST LINE ITEM</t>
  </si>
  <si>
    <t xml:space="preserve">STARTER
(Low)</t>
  </si>
  <si>
    <t xml:space="preserve">PRO
(Mid)</t>
  </si>
  <si>
    <t xml:space="preserve">ENTERPRISE
(High)</t>
  </si>
  <si>
    <t xml:space="preserve">Edge compute and embeddings are on-device (₹0); only cloud LLM + Qdrant Cloud are metered.</t>
  </si>
  <si>
    <t xml:space="preserve">LLM distill_sop calls included / mo</t>
  </si>
  <si>
    <t xml:space="preserve">distill_sop cost ($0.000258/call)</t>
  </si>
  <si>
    <t xml:space="preserve">LLM auto_tag calls included / mo</t>
  </si>
  <si>
    <t xml:space="preserve">auto_tag cost ($0.0001335/call)</t>
  </si>
  <si>
    <t xml:space="preserve">Qdrant Cloud allocation ($/mo)</t>
  </si>
  <si>
    <t xml:space="preserve">Subtotal COGS ($/mo)</t>
  </si>
  <si>
    <t xml:space="preserve">Total estimated COGS (₹/mo)</t>
  </si>
  <si>
    <t xml:space="preserve">Price — annual plan (₹/mo)</t>
  </si>
  <si>
    <t xml:space="preserve">Gross margin (%)</t>
  </si>
  <si>
    <t xml:space="preserve">PRICING TIERS  ·  ANNUAL BILLING  vs  MONTHLY BILLING</t>
  </si>
  <si>
    <t xml:space="preserve">◆  ANNUAL BILLING  (17% discount applied)</t>
  </si>
  <si>
    <t xml:space="preserve">◇  MONTHLY BILLING  (billed monthly, no discount)</t>
  </si>
  <si>
    <t xml:space="preserve">METRIC / LINE ITEM</t>
  </si>
  <si>
    <t xml:space="preserve">STARTER
(Low maturity)</t>
  </si>
  <si>
    <t xml:space="preserve">PRO
(Mid maturity)</t>
  </si>
  <si>
    <t xml:space="preserve">ENTERPRISE
(High maturity)</t>
  </si>
  <si>
    <t xml:space="preserve">Fleet Maturity Level</t>
  </si>
  <si>
    <t xml:space="preserve">Low</t>
  </si>
  <si>
    <t xml:space="preserve">Mid</t>
  </si>
  <si>
    <t xml:space="preserve">High</t>
  </si>
  <si>
    <t xml:space="preserve">★ Per-Month Price — Annual Plan (₹)</t>
  </si>
  <si>
    <t xml:space="preserve">N/A (see below)</t>
  </si>
  <si>
    <t xml:space="preserve">Per-Month Price — Annual Plan (USD)</t>
  </si>
  <si>
    <t xml:space="preserve">Annual Discount Applied</t>
  </si>
  <si>
    <t xml:space="preserve">None</t>
  </si>
  <si>
    <t xml:space="preserve">Effective Monthly Charge (₹)</t>
  </si>
  <si>
    <t xml:space="preserve">Total Amount Billed Per Year (₹)</t>
  </si>
  <si>
    <t xml:space="preserve">── MONTHLY BILLING PLAN ──</t>
  </si>
  <si>
    <t xml:space="preserve">Per-Month Price — Monthly Plan (₹)</t>
  </si>
  <si>
    <t xml:space="preserve">—</t>
  </si>
  <si>
    <t xml:space="preserve">Annual Equivalent Cost (×12) (₹)</t>
  </si>
  <si>
    <t xml:space="preserve">── SAVINGS ANALYSIS ──</t>
  </si>
  <si>
    <t xml:space="preserve">You Save Per Year by Billing Annually (₹)</t>
  </si>
  <si>
    <t xml:space="preserve">Discount Captured  (%)</t>
  </si>
  <si>
    <t xml:space="preserve">★  USD row converts the ₹ price at the rate in D8 — retype D8 and the whole USD column re-prices.  Monthly column = Annual ÷ 0.83.</t>
  </si>
  <si>
    <t xml:space="preserve">QUICK REFERENCE  ·  PRICE SUMMARY</t>
  </si>
  <si>
    <t xml:space="preserve">Tier</t>
  </si>
  <si>
    <t xml:space="preserve">Per Month (Annual, ₹)</t>
  </si>
  <si>
    <t xml:space="preserve">Total Per Year (₹)</t>
  </si>
  <si>
    <t xml:space="preserve">Per Month (Annual, USD)</t>
  </si>
  <si>
    <t xml:space="preserve">You Save / Year (₹)</t>
  </si>
  <si>
    <t xml:space="preserve">STARTER</t>
  </si>
  <si>
    <t xml:space="preserve">PRO</t>
  </si>
  <si>
    <t xml:space="preserve">ENTERPRISE</t>
  </si>
  <si>
    <t xml:space="preserve">TIER FEATURE OVERVIEW</t>
  </si>
  <si>
    <t xml:space="preserve">Feature / Capability</t>
  </si>
  <si>
    <t xml:space="preserve">STARTER (Low)</t>
  </si>
  <si>
    <t xml:space="preserve">PRO (Mid)</t>
  </si>
  <si>
    <t xml:space="preserve">ENTERPRISE (High)</t>
  </si>
  <si>
    <t xml:space="preserve">Devices / edge-engine instances</t>
  </si>
  <si>
    <t xml:space="preserve">1</t>
  </si>
  <si>
    <t xml:space="preserve">5</t>
  </si>
  <si>
    <t xml:space="preserve">Unlimited</t>
  </si>
  <si>
    <t xml:space="preserve">Points stored (384d dense + sparse)</t>
  </si>
  <si>
    <t xml:space="preserve">50,000</t>
  </si>
  <si>
    <t xml:space="preserve">1,000,000</t>
  </si>
  <si>
    <t xml:space="preserve">Hybrid search — dense + BM25, RRF fusion</t>
  </si>
  <si>
    <t xml:space="preserve">✔</t>
  </si>
  <si>
    <t xml:space="preserve">Payload filters + per-result score breakdown</t>
  </si>
  <si>
    <t xml:space="preserve">Residency policy (local_only enforcement)</t>
  </si>
  <si>
    <t xml:space="preserve">Federation (FEDERATED_PEERS probing)</t>
  </si>
  <si>
    <t xml:space="preserve">1 peer</t>
  </si>
  <si>
    <t xml:space="preserve">5 peers</t>
  </si>
  <si>
    <t xml:space="preserve">Snapshot handoff (export / import v1)</t>
  </si>
  <si>
    <t xml:space="preserve">Cloud browser (Qdrant collections)</t>
  </si>
  <si>
    <t xml:space="preserve">Live fleet metrics (SSE) + TTL retention</t>
  </si>
  <si>
    <t xml:space="preserve">Search playground</t>
  </si>
  <si>
    <t xml:space="preserve">LLM distill → SOP (online)</t>
  </si>
  <si>
    <t xml:space="preserve">50 / mo</t>
  </si>
  <si>
    <t xml:space="preserve">500 / mo</t>
  </si>
  <si>
    <t xml:space="preserve">2,500 / mo</t>
  </si>
  <si>
    <t xml:space="preserve">LLM auto-tag criticality / sensitivity</t>
  </si>
  <si>
    <t xml:space="preserve">200 / mo</t>
  </si>
  <si>
    <t xml:space="preserve">2,000 / mo</t>
  </si>
  <si>
    <t xml:space="preserve">10,000 / mo</t>
  </si>
  <si>
    <t xml:space="preserve">Qdrant backend</t>
  </si>
  <si>
    <t xml:space="preserve">Free tier</t>
  </si>
  <si>
    <t xml:space="preserve">Standard 1 vCPU / 2 GB</t>
  </si>
  <si>
    <t xml:space="preserve">Standard 2 vCPU / 4 GB</t>
  </si>
  <si>
    <t xml:space="preserve">On-device embeddings (FastEmbed bge-small)</t>
  </si>
  <si>
    <t xml:space="preserve">SSO / RBAC / audit log</t>
  </si>
  <si>
    <t xml:space="preserve">Phase 2</t>
  </si>
  <si>
    <t xml:space="preserve">Support</t>
  </si>
  <si>
    <t xml:space="preserve">Community</t>
  </si>
  <si>
    <t xml:space="preserve">Email</t>
  </si>
  <si>
    <t xml:space="preserve">Dedicated + SLA</t>
  </si>
  <si>
    <t xml:space="preserve">PHASE 2 PRICING TRAJECTORY  (SSO · Audit trail · Public API · Hybrid Cloud residency)</t>
  </si>
  <si>
    <t xml:space="preserve">Trigger</t>
  </si>
  <si>
    <t xml:space="preserve">50 paying fleets + public API pilot + data-residency pilots closed</t>
  </si>
  <si>
    <t xml:space="preserve">Expected Uplift</t>
  </si>
  <si>
    <t xml:space="preserve">Prices rise once SSO, RBAC, the audit log and the public API ship — regulated-industry deployments pay for residency + compliance</t>
  </si>
  <si>
    <t xml:space="preserve">Starter Phase 2</t>
  </si>
  <si>
    <t xml:space="preserve">₹1,499/mo  →  ₹2,000–₹2,500/mo  (public API + 500 distill/mo)</t>
  </si>
  <si>
    <t xml:space="preserve">Pro Phase 2</t>
  </si>
  <si>
    <t xml:space="preserve">₹5,999/mo  →  ₹9,000–₹11,000/mo  (SSO + audit trail + 10k auto-tag/mo)</t>
  </si>
  <si>
    <t xml:space="preserve">Enterprise Phase 2</t>
  </si>
  <si>
    <t xml:space="preserve">₹14,999/mo  →  ₹24,000–₹29,000/mo  (Qdrant Hybrid Cloud data-residency + verifier workflow + 99.9% SLA)</t>
  </si>
  <si>
    <t xml:space="preserve">Rationale</t>
  </si>
  <si>
    <t xml:space="preserve">SSO/RBAC · immutable audit log · public API · Hybrid Cloud (data stays on your infra) · 99.9% uptime SLA</t>
  </si>
  <si>
    <t xml:space="preserve">EDGE.MEM  ·  Offline-first hybrid-search memory for industrial edge devices  ·  Phase 1 Subscription Pricing  ·  All prices in INR (₹); USD indicative at the rate in D8  ·  Subject to revision as product scales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</si>
</sst>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$#,##0"/>
    <numFmt numFmtId="167" formatCode="\₹#,##0;&quot;(₹&quot;#,##0\);\-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Trebuchet MS"/>
      <family val="0"/>
      <charset val="1"/>
    </font>
    <font>
      <sz val="10"/>
      <color rgb="FFFFFFFF"/>
      <name val="Trebuchet MS"/>
      <family val="0"/>
      <charset val="1"/>
    </font>
    <font>
      <b val="true"/>
      <sz val="11"/>
      <color rgb="FFFFFFFF"/>
      <name val="Trebuchet MS"/>
      <family val="0"/>
      <charset val="1"/>
    </font>
    <font>
      <b val="true"/>
      <sz val="10"/>
      <color rgb="FFFFFFFF"/>
      <name val="Trebuchet MS"/>
      <family val="0"/>
      <charset val="1"/>
    </font>
    <font>
      <sz val="9"/>
      <color rgb="FFFFFFFF"/>
      <name val="Trebuchet MS"/>
      <family val="0"/>
      <charset val="1"/>
    </font>
    <font>
      <sz val="8"/>
      <color rgb="FFFFFFFF"/>
      <name val="Trebuchet MS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60D28"/>
        <bgColor rgb="FF080F2A"/>
      </patternFill>
    </fill>
    <fill>
      <patternFill patternType="solid">
        <fgColor rgb="FF0D1B4B"/>
        <bgColor rgb="FF0D2050"/>
      </patternFill>
    </fill>
    <fill>
      <patternFill patternType="solid">
        <fgColor rgb="FF080F2A"/>
        <bgColor rgb="FF060D28"/>
      </patternFill>
    </fill>
    <fill>
      <patternFill patternType="solid">
        <fgColor rgb="FF0A2060"/>
        <bgColor rgb="FF112266"/>
      </patternFill>
    </fill>
    <fill>
      <patternFill patternType="solid">
        <fgColor rgb="FF0A1540"/>
        <bgColor rgb="FF0D1B4B"/>
      </patternFill>
    </fill>
    <fill>
      <patternFill patternType="solid">
        <fgColor rgb="FF0D3B8C"/>
        <bgColor rgb="FF0D47A1"/>
      </patternFill>
    </fill>
    <fill>
      <patternFill patternType="solid">
        <fgColor rgb="FF112255"/>
        <bgColor rgb="FF0D2050"/>
      </patternFill>
    </fill>
    <fill>
      <patternFill patternType="solid">
        <fgColor rgb="FF0D2050"/>
        <bgColor rgb="FF112255"/>
      </patternFill>
    </fill>
    <fill>
      <patternFill patternType="solid">
        <fgColor rgb="FF0D2A1A"/>
        <bgColor rgb="FF1E2A3A"/>
      </patternFill>
    </fill>
    <fill>
      <patternFill patternType="solid">
        <fgColor rgb="FF3D5AFE"/>
        <bgColor rgb="FF5C6BC0"/>
      </patternFill>
    </fill>
    <fill>
      <patternFill patternType="solid">
        <fgColor rgb="FF5C6BC0"/>
        <bgColor rgb="FF3D5AFE"/>
      </patternFill>
    </fill>
    <fill>
      <patternFill patternType="solid">
        <fgColor rgb="FF1565C0"/>
        <bgColor rgb="FF0D47A1"/>
      </patternFill>
    </fill>
    <fill>
      <patternFill patternType="solid">
        <fgColor rgb="FF0D47A1"/>
        <bgColor rgb="FF0D3B8C"/>
      </patternFill>
    </fill>
    <fill>
      <patternFill patternType="solid">
        <fgColor rgb="FF37474F"/>
        <bgColor rgb="FF263238"/>
      </patternFill>
    </fill>
    <fill>
      <patternFill patternType="solid">
        <fgColor rgb="FF263238"/>
        <bgColor rgb="FF1E2A3A"/>
      </patternFill>
    </fill>
    <fill>
      <patternFill patternType="solid">
        <fgColor rgb="FF1E2A3A"/>
        <bgColor rgb="FF263238"/>
      </patternFill>
    </fill>
    <fill>
      <patternFill patternType="solid">
        <fgColor rgb="FF112266"/>
        <bgColor rgb="FF0A2060"/>
      </patternFill>
    </fill>
    <fill>
      <patternFill patternType="solid">
        <fgColor rgb="FF1A237E"/>
        <bgColor rgb="FF1A2B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A2B6B"/>
      </left>
      <right style="thin">
        <color rgb="FF1A2B6B"/>
      </right>
      <top style="thin">
        <color rgb="FF1A2B6B"/>
      </top>
      <bottom style="thin">
        <color rgb="FF1A2B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112255"/>
      <rgbColor rgb="FFFFFF00"/>
      <rgbColor rgb="FFFF00FF"/>
      <rgbColor rgb="FF00FFFF"/>
      <rgbColor rgb="FF080F2A"/>
      <rgbColor rgb="FF008000"/>
      <rgbColor rgb="FF0A1540"/>
      <rgbColor rgb="FF808000"/>
      <rgbColor rgb="FF0D1B4B"/>
      <rgbColor rgb="FF0D47A1"/>
      <rgbColor rgb="FFC0C0C0"/>
      <rgbColor rgb="FF808080"/>
      <rgbColor rgb="FF9999FF"/>
      <rgbColor rgb="FF37474F"/>
      <rgbColor rgb="FFFFFFCC"/>
      <rgbColor rgb="FFCCFFFF"/>
      <rgbColor rgb="FF112266"/>
      <rgbColor rgb="FFFF8080"/>
      <rgbColor rgb="FF1565C0"/>
      <rgbColor rgb="FFCCCCFF"/>
      <rgbColor rgb="FF0A2060"/>
      <rgbColor rgb="FFFF00FF"/>
      <rgbColor rgb="FFFFFF00"/>
      <rgbColor rgb="FF00FFFF"/>
      <rgbColor rgb="FF800080"/>
      <rgbColor rgb="FF060D28"/>
      <rgbColor rgb="FF0D3B8C"/>
      <rgbColor rgb="FF0D2050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5AFE"/>
      <rgbColor rgb="FF33CCCC"/>
      <rgbColor rgb="FF99CC00"/>
      <rgbColor rgb="FFFFCC00"/>
      <rgbColor rgb="FFFF9900"/>
      <rgbColor rgb="FFFF6600"/>
      <rgbColor rgb="FF5C6BC0"/>
      <rgbColor rgb="FF969696"/>
      <rgbColor rgb="FF1A2B6B"/>
      <rgbColor rgb="FF339966"/>
      <rgbColor rgb="FF0D2A1A"/>
      <rgbColor rgb="FF1E2A3A"/>
      <rgbColor rgb="FF993300"/>
      <rgbColor rgb="FF993366"/>
      <rgbColor rgb="FF1A237E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2:K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2.86"/>
    <col collapsed="false" customWidth="true" hidden="false" outlineLevel="0" max="4" min="4" style="0" width="20"/>
    <col collapsed="false" customWidth="true" hidden="false" outlineLevel="0" max="5" min="5" style="0" width="21.43"/>
    <col collapsed="false" customWidth="true" hidden="false" outlineLevel="0" max="6" min="6" style="0" width="28.43"/>
    <col collapsed="false" customWidth="true" hidden="false" outlineLevel="0" max="7" min="7" style="0" width="2"/>
    <col collapsed="false" customWidth="true" hidden="false" outlineLevel="0" max="9" min="8" style="0" width="20"/>
    <col collapsed="false" customWidth="true" hidden="false" outlineLevel="0" max="10" min="10" style="0" width="28.29"/>
    <col collapsed="false" customWidth="true" hidden="false" outlineLevel="0" max="11" min="11" style="0" width="5"/>
  </cols>
  <sheetData>
    <row r="2" customFormat="false" ht="27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true" outlineLevel="0" collapsed="false">
      <c r="B6" s="4" t="s">
        <v>3</v>
      </c>
      <c r="C6" s="4"/>
      <c r="D6" s="5" t="s">
        <v>4</v>
      </c>
      <c r="E6" s="5"/>
      <c r="F6" s="5"/>
      <c r="G6" s="5"/>
      <c r="H6" s="5"/>
      <c r="I6" s="5"/>
      <c r="J6" s="5"/>
    </row>
    <row r="7" customFormat="false" ht="15" hidden="false" customHeight="true" outlineLevel="0" collapsed="false">
      <c r="B7" s="4" t="s">
        <v>5</v>
      </c>
      <c r="C7" s="4"/>
      <c r="D7" s="5" t="s">
        <v>6</v>
      </c>
      <c r="E7" s="5"/>
      <c r="F7" s="5"/>
      <c r="G7" s="5"/>
      <c r="H7" s="5"/>
      <c r="I7" s="5"/>
      <c r="J7" s="5"/>
    </row>
    <row r="8" customFormat="false" ht="15" hidden="false" customHeight="true" outlineLevel="0" collapsed="false">
      <c r="B8" s="4" t="s">
        <v>7</v>
      </c>
      <c r="C8" s="4"/>
      <c r="D8" s="6" t="n">
        <v>96.07</v>
      </c>
      <c r="E8" s="6"/>
      <c r="F8" s="6"/>
      <c r="G8" s="6"/>
      <c r="H8" s="6"/>
      <c r="I8" s="6"/>
      <c r="J8" s="6"/>
    </row>
    <row r="9" customFormat="false" ht="15" hidden="false" customHeight="true" outlineLevel="0" collapsed="false">
      <c r="B9" s="4" t="s">
        <v>8</v>
      </c>
      <c r="C9" s="4"/>
      <c r="D9" s="5" t="s">
        <v>9</v>
      </c>
      <c r="E9" s="5"/>
      <c r="F9" s="5"/>
      <c r="G9" s="5"/>
      <c r="H9" s="5"/>
      <c r="I9" s="5"/>
      <c r="J9" s="5"/>
    </row>
    <row r="10" customFormat="false" ht="15" hidden="false" customHeight="true" outlineLevel="0" collapsed="false">
      <c r="B10" s="4" t="s">
        <v>10</v>
      </c>
      <c r="C10" s="4"/>
      <c r="D10" s="5" t="s">
        <v>11</v>
      </c>
      <c r="E10" s="5"/>
      <c r="F10" s="5"/>
      <c r="G10" s="5"/>
      <c r="H10" s="5"/>
      <c r="I10" s="5"/>
      <c r="J10" s="5"/>
    </row>
    <row r="11" customFormat="false" ht="15" hidden="false" customHeight="true" outlineLevel="0" collapsed="false">
      <c r="B11" s="4" t="s">
        <v>12</v>
      </c>
      <c r="C11" s="4"/>
      <c r="D11" s="5" t="s">
        <v>13</v>
      </c>
      <c r="E11" s="5"/>
      <c r="F11" s="5"/>
      <c r="G11" s="5"/>
      <c r="H11" s="5"/>
      <c r="I11" s="5"/>
      <c r="J11" s="5"/>
    </row>
    <row r="12" customFormat="false" ht="15" hidden="false" customHeight="true" outlineLevel="0" collapsed="false">
      <c r="B12" s="4" t="s">
        <v>14</v>
      </c>
      <c r="C12" s="4"/>
      <c r="D12" s="5" t="s">
        <v>15</v>
      </c>
      <c r="E12" s="5"/>
      <c r="F12" s="5"/>
      <c r="G12" s="5"/>
      <c r="H12" s="5"/>
      <c r="I12" s="5"/>
      <c r="J12" s="5"/>
    </row>
    <row r="13" customFormat="false" ht="15" hidden="false" customHeight="true" outlineLevel="0" collapsed="false">
      <c r="B13" s="4" t="s">
        <v>16</v>
      </c>
      <c r="C13" s="4"/>
      <c r="D13" s="5" t="s">
        <v>17</v>
      </c>
      <c r="E13" s="5"/>
      <c r="F13" s="5"/>
      <c r="G13" s="5"/>
      <c r="H13" s="5"/>
      <c r="I13" s="5"/>
      <c r="J13" s="5"/>
    </row>
    <row r="14" customFormat="false" ht="15" hidden="false" customHeight="true" outlineLevel="0" collapsed="false">
      <c r="B14" s="4" t="s">
        <v>18</v>
      </c>
      <c r="C14" s="4"/>
      <c r="D14" s="5" t="s">
        <v>19</v>
      </c>
      <c r="E14" s="5"/>
      <c r="F14" s="5"/>
      <c r="G14" s="5"/>
      <c r="H14" s="5"/>
      <c r="I14" s="5"/>
      <c r="J14" s="5"/>
    </row>
    <row r="15" customFormat="false" ht="15" hidden="false" customHeight="true" outlineLevel="0" collapsed="false">
      <c r="B15" s="4" t="s">
        <v>20</v>
      </c>
      <c r="C15" s="4"/>
      <c r="D15" s="5" t="s">
        <v>21</v>
      </c>
      <c r="E15" s="5"/>
      <c r="F15" s="5"/>
      <c r="G15" s="5"/>
      <c r="H15" s="5"/>
      <c r="I15" s="5"/>
      <c r="J15" s="5"/>
    </row>
    <row r="17" customFormat="false" ht="25.5" hidden="false" customHeight="true" outlineLevel="0" collapsed="false">
      <c r="B17" s="7" t="s">
        <v>22</v>
      </c>
      <c r="C17" s="7"/>
      <c r="D17" s="7"/>
      <c r="E17" s="7"/>
      <c r="F17" s="7"/>
      <c r="G17" s="7"/>
      <c r="H17" s="7"/>
      <c r="I17" s="7"/>
      <c r="J17" s="7"/>
    </row>
    <row r="19" customFormat="false" ht="21.75" hidden="false" customHeight="true" outlineLevel="0" collapsed="false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30" hidden="false" customHeight="true" outlineLevel="0" collapsed="false">
      <c r="B20" s="8" t="s">
        <v>24</v>
      </c>
      <c r="C20" s="8"/>
      <c r="D20" s="9" t="s">
        <v>25</v>
      </c>
      <c r="E20" s="9" t="s">
        <v>26</v>
      </c>
      <c r="F20" s="9" t="s">
        <v>27</v>
      </c>
      <c r="H20" s="10" t="s">
        <v>28</v>
      </c>
      <c r="I20" s="10"/>
      <c r="J20" s="10"/>
    </row>
    <row r="21" customFormat="false" ht="15" hidden="false" customHeight="true" outlineLevel="0" collapsed="false">
      <c r="B21" s="4" t="s">
        <v>29</v>
      </c>
      <c r="C21" s="4"/>
      <c r="D21" s="11" t="n">
        <v>50</v>
      </c>
      <c r="E21" s="11" t="n">
        <v>500</v>
      </c>
      <c r="F21" s="11" t="n">
        <v>2500</v>
      </c>
    </row>
    <row r="22" customFormat="false" ht="15" hidden="false" customHeight="true" outlineLevel="0" collapsed="false">
      <c r="B22" s="4" t="s">
        <v>30</v>
      </c>
      <c r="C22" s="4"/>
      <c r="D22" s="12" t="n">
        <f aca="false">D21*0.000258</f>
        <v>0.0129</v>
      </c>
      <c r="E22" s="12" t="n">
        <f aca="false">E21*0.000258</f>
        <v>0.129</v>
      </c>
      <c r="F22" s="12" t="n">
        <f aca="false">F21*0.000258</f>
        <v>0.645</v>
      </c>
    </row>
    <row r="23" customFormat="false" ht="15" hidden="false" customHeight="true" outlineLevel="0" collapsed="false">
      <c r="B23" s="4" t="s">
        <v>31</v>
      </c>
      <c r="C23" s="4"/>
      <c r="D23" s="11" t="n">
        <v>200</v>
      </c>
      <c r="E23" s="11" t="n">
        <v>2000</v>
      </c>
      <c r="F23" s="11" t="n">
        <v>10000</v>
      </c>
    </row>
    <row r="24" customFormat="false" ht="15" hidden="false" customHeight="true" outlineLevel="0" collapsed="false">
      <c r="B24" s="4" t="s">
        <v>32</v>
      </c>
      <c r="C24" s="4"/>
      <c r="D24" s="12" t="n">
        <f aca="false">D23*0.0001335</f>
        <v>0.0267</v>
      </c>
      <c r="E24" s="12" t="n">
        <f aca="false">E23*0.0001335</f>
        <v>0.267</v>
      </c>
      <c r="F24" s="12" t="n">
        <f aca="false">F23*0.0001335</f>
        <v>1.335</v>
      </c>
    </row>
    <row r="25" customFormat="false" ht="15" hidden="false" customHeight="true" outlineLevel="0" collapsed="false">
      <c r="B25" s="4" t="s">
        <v>33</v>
      </c>
      <c r="C25" s="4"/>
      <c r="D25" s="13" t="n">
        <v>0</v>
      </c>
      <c r="E25" s="13" t="n">
        <v>20</v>
      </c>
      <c r="F25" s="13" t="n">
        <v>60</v>
      </c>
    </row>
    <row r="26" customFormat="false" ht="15" hidden="false" customHeight="true" outlineLevel="0" collapsed="false">
      <c r="B26" s="4" t="s">
        <v>34</v>
      </c>
      <c r="C26" s="4"/>
      <c r="D26" s="12" t="n">
        <f aca="false">D22+D24+D25</f>
        <v>0.0396</v>
      </c>
      <c r="E26" s="12" t="n">
        <f aca="false">E22+E24+E25</f>
        <v>20.396</v>
      </c>
      <c r="F26" s="12" t="n">
        <f aca="false">F22+F24+F25</f>
        <v>61.98</v>
      </c>
    </row>
    <row r="27" customFormat="false" ht="15" hidden="false" customHeight="true" outlineLevel="0" collapsed="false">
      <c r="B27" s="4" t="s">
        <v>35</v>
      </c>
      <c r="C27" s="4"/>
      <c r="D27" s="14" t="n">
        <f aca="false">D26*$D$8</f>
        <v>3.804372</v>
      </c>
      <c r="E27" s="14" t="n">
        <f aca="false">E26*$D$8</f>
        <v>1959.44372</v>
      </c>
      <c r="F27" s="14" t="n">
        <f aca="false">F26*$D$8</f>
        <v>5954.4186</v>
      </c>
    </row>
    <row r="28" customFormat="false" ht="15" hidden="false" customHeight="true" outlineLevel="0" collapsed="false">
      <c r="B28" s="4" t="s">
        <v>36</v>
      </c>
      <c r="C28" s="4"/>
      <c r="D28" s="14" t="n">
        <f aca="false">D35</f>
        <v>1499</v>
      </c>
      <c r="E28" s="14" t="n">
        <f aca="false">E35</f>
        <v>5999</v>
      </c>
      <c r="F28" s="14" t="n">
        <f aca="false">F35</f>
        <v>14999</v>
      </c>
    </row>
    <row r="29" customFormat="false" ht="15" hidden="false" customHeight="true" outlineLevel="0" collapsed="false">
      <c r="B29" s="4" t="s">
        <v>37</v>
      </c>
      <c r="C29" s="4"/>
      <c r="D29" s="15" t="n">
        <f aca="false">(D35-D27)/D35</f>
        <v>0.997462060040027</v>
      </c>
      <c r="E29" s="15" t="n">
        <f aca="false">(E35-E27)/E35</f>
        <v>0.673371608601434</v>
      </c>
      <c r="F29" s="15" t="n">
        <f aca="false">(F35-F27)/F35</f>
        <v>0.603012294152944</v>
      </c>
    </row>
    <row r="31" customFormat="false" ht="21.75" hidden="false" customHeight="true" outlineLevel="0" collapsed="false">
      <c r="A31" s="3" t="s">
        <v>38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9.5" hidden="false" customHeight="true" outlineLevel="0" collapsed="false">
      <c r="D32" s="16" t="s">
        <v>39</v>
      </c>
      <c r="E32" s="16"/>
      <c r="F32" s="16"/>
      <c r="H32" s="17" t="s">
        <v>40</v>
      </c>
      <c r="I32" s="17"/>
      <c r="J32" s="17"/>
    </row>
    <row r="33" customFormat="false" ht="31.5" hidden="false" customHeight="true" outlineLevel="0" collapsed="false">
      <c r="B33" s="8" t="s">
        <v>41</v>
      </c>
      <c r="C33" s="8"/>
      <c r="D33" s="18" t="s">
        <v>42</v>
      </c>
      <c r="E33" s="18" t="s">
        <v>43</v>
      </c>
      <c r="F33" s="19" t="s">
        <v>44</v>
      </c>
      <c r="H33" s="20" t="s">
        <v>42</v>
      </c>
      <c r="I33" s="20" t="s">
        <v>43</v>
      </c>
      <c r="J33" s="21" t="s">
        <v>44</v>
      </c>
    </row>
    <row r="34" customFormat="false" ht="15" hidden="false" customHeight="true" outlineLevel="0" collapsed="false">
      <c r="B34" s="4" t="s">
        <v>45</v>
      </c>
      <c r="C34" s="4"/>
      <c r="D34" s="22" t="s">
        <v>46</v>
      </c>
      <c r="E34" s="22" t="s">
        <v>47</v>
      </c>
      <c r="F34" s="22" t="s">
        <v>48</v>
      </c>
      <c r="H34" s="23" t="s">
        <v>46</v>
      </c>
      <c r="I34" s="23" t="s">
        <v>47</v>
      </c>
      <c r="J34" s="23" t="s">
        <v>48</v>
      </c>
    </row>
    <row r="35" customFormat="false" ht="15" hidden="false" customHeight="true" outlineLevel="0" collapsed="false">
      <c r="B35" s="4" t="s">
        <v>49</v>
      </c>
      <c r="C35" s="4"/>
      <c r="D35" s="24" t="n">
        <v>1499</v>
      </c>
      <c r="E35" s="24" t="n">
        <v>5999</v>
      </c>
      <c r="F35" s="24" t="n">
        <v>14999</v>
      </c>
      <c r="H35" s="23" t="s">
        <v>50</v>
      </c>
      <c r="I35" s="23" t="s">
        <v>50</v>
      </c>
      <c r="J35" s="23" t="s">
        <v>50</v>
      </c>
    </row>
    <row r="36" customFormat="false" ht="15" hidden="false" customHeight="true" outlineLevel="0" collapsed="false">
      <c r="B36" s="4" t="s">
        <v>51</v>
      </c>
      <c r="C36" s="4"/>
      <c r="D36" s="12" t="n">
        <f aca="false">ROUND(D35/$D$8,0)</f>
        <v>16</v>
      </c>
      <c r="E36" s="12" t="n">
        <f aca="false">ROUND(E35/$D$8,0)</f>
        <v>62</v>
      </c>
      <c r="F36" s="12" t="n">
        <f aca="false">ROUND(F35/$D$8,0)</f>
        <v>156</v>
      </c>
      <c r="H36" s="23" t="s">
        <v>50</v>
      </c>
      <c r="I36" s="23" t="s">
        <v>50</v>
      </c>
      <c r="J36" s="23" t="s">
        <v>50</v>
      </c>
    </row>
    <row r="37" customFormat="false" ht="15" hidden="false" customHeight="true" outlineLevel="0" collapsed="false">
      <c r="B37" s="4" t="s">
        <v>52</v>
      </c>
      <c r="C37" s="4"/>
      <c r="D37" s="22" t="s">
        <v>4</v>
      </c>
      <c r="E37" s="22" t="s">
        <v>4</v>
      </c>
      <c r="F37" s="22" t="s">
        <v>4</v>
      </c>
      <c r="H37" s="23" t="s">
        <v>53</v>
      </c>
      <c r="I37" s="23" t="s">
        <v>53</v>
      </c>
      <c r="J37" s="23" t="s">
        <v>53</v>
      </c>
    </row>
    <row r="38" customFormat="false" ht="15" hidden="false" customHeight="true" outlineLevel="0" collapsed="false">
      <c r="B38" s="4" t="s">
        <v>54</v>
      </c>
      <c r="C38" s="4"/>
      <c r="D38" s="14" t="n">
        <f aca="false">D35</f>
        <v>1499</v>
      </c>
      <c r="E38" s="14" t="n">
        <f aca="false">E35</f>
        <v>5999</v>
      </c>
      <c r="F38" s="14" t="n">
        <f aca="false">F35</f>
        <v>14999</v>
      </c>
      <c r="H38" s="25" t="n">
        <f aca="false">ROUND(D35/(1-0.17),0)</f>
        <v>1806</v>
      </c>
      <c r="I38" s="25" t="n">
        <f aca="false">ROUND(E35/(1-0.17),0)</f>
        <v>7228</v>
      </c>
      <c r="J38" s="25" t="n">
        <f aca="false">ROUND(F35/(1-0.17),0)</f>
        <v>18071</v>
      </c>
    </row>
    <row r="39" customFormat="false" ht="15" hidden="false" customHeight="true" outlineLevel="0" collapsed="false">
      <c r="B39" s="4" t="s">
        <v>55</v>
      </c>
      <c r="C39" s="4"/>
      <c r="D39" s="14" t="n">
        <f aca="false">D35*12</f>
        <v>17988</v>
      </c>
      <c r="E39" s="14" t="n">
        <f aca="false">E35*12</f>
        <v>71988</v>
      </c>
      <c r="F39" s="14" t="n">
        <f aca="false">F35*12</f>
        <v>179988</v>
      </c>
      <c r="H39" s="25" t="n">
        <f aca="false">ROUND(D35/(1-0.17),0)*12</f>
        <v>21672</v>
      </c>
      <c r="I39" s="25" t="n">
        <f aca="false">ROUND(E35/(1-0.17),0)*12</f>
        <v>86736</v>
      </c>
      <c r="J39" s="25" t="n">
        <f aca="false">ROUND(F35/(1-0.17),0)*12</f>
        <v>216852</v>
      </c>
    </row>
    <row r="40" customFormat="false" ht="15" hidden="false" customHeight="true" outlineLevel="0" collapsed="false">
      <c r="B40" s="26" t="s">
        <v>56</v>
      </c>
      <c r="C40" s="26"/>
    </row>
    <row r="41" customFormat="false" ht="15" hidden="false" customHeight="true" outlineLevel="0" collapsed="false">
      <c r="B41" s="4" t="s">
        <v>57</v>
      </c>
      <c r="C41" s="4"/>
      <c r="D41" s="23" t="s">
        <v>58</v>
      </c>
      <c r="E41" s="23" t="s">
        <v>58</v>
      </c>
      <c r="F41" s="23" t="s">
        <v>58</v>
      </c>
      <c r="H41" s="25" t="n">
        <f aca="false">ROUND(D35/(1-0.17),0)</f>
        <v>1806</v>
      </c>
      <c r="I41" s="25" t="n">
        <f aca="false">ROUND(E35/(1-0.17),0)</f>
        <v>7228</v>
      </c>
      <c r="J41" s="25" t="n">
        <f aca="false">ROUND(F35/(1-0.17),0)</f>
        <v>18071</v>
      </c>
    </row>
    <row r="42" customFormat="false" ht="15" hidden="false" customHeight="true" outlineLevel="0" collapsed="false">
      <c r="B42" s="4" t="s">
        <v>59</v>
      </c>
      <c r="C42" s="4"/>
      <c r="D42" s="23" t="s">
        <v>58</v>
      </c>
      <c r="E42" s="23" t="s">
        <v>58</v>
      </c>
      <c r="F42" s="23" t="s">
        <v>58</v>
      </c>
      <c r="H42" s="25" t="n">
        <f aca="false">ROUND(D35/(1-0.17),0)*12</f>
        <v>21672</v>
      </c>
      <c r="I42" s="25" t="n">
        <f aca="false">ROUND(E35/(1-0.17),0)*12</f>
        <v>86736</v>
      </c>
      <c r="J42" s="25" t="n">
        <f aca="false">ROUND(F35/(1-0.17),0)*12</f>
        <v>216852</v>
      </c>
    </row>
    <row r="43" customFormat="false" ht="15" hidden="false" customHeight="true" outlineLevel="0" collapsed="false">
      <c r="B43" s="26" t="s">
        <v>60</v>
      </c>
      <c r="C43" s="26"/>
    </row>
    <row r="44" customFormat="false" ht="15" hidden="false" customHeight="true" outlineLevel="0" collapsed="false">
      <c r="B44" s="4" t="s">
        <v>61</v>
      </c>
      <c r="C44" s="4"/>
      <c r="D44" s="27" t="n">
        <f aca="false">ROUND(D35/(1-0.17),0)*12-D35*12</f>
        <v>3684</v>
      </c>
      <c r="E44" s="27" t="n">
        <f aca="false">ROUND(E35/(1-0.17),0)*12-E35*12</f>
        <v>14748</v>
      </c>
      <c r="F44" s="27" t="n">
        <f aca="false">ROUND(F35/(1-0.17),0)*12-F35*12</f>
        <v>36864</v>
      </c>
      <c r="H44" s="23" t="s">
        <v>58</v>
      </c>
      <c r="I44" s="23" t="s">
        <v>58</v>
      </c>
      <c r="J44" s="23" t="s">
        <v>58</v>
      </c>
    </row>
    <row r="45" customFormat="false" ht="15" hidden="false" customHeight="true" outlineLevel="0" collapsed="false">
      <c r="B45" s="4" t="s">
        <v>62</v>
      </c>
      <c r="C45" s="4"/>
      <c r="D45" s="15" t="n">
        <f aca="false">(ROUND(D35/(1-0.17),0)*12-D35*12)/(ROUND(D35/(1-0.17),0)*12)</f>
        <v>0.169988925802879</v>
      </c>
      <c r="E45" s="15" t="n">
        <f aca="false">(ROUND(E35/(1-0.17),0)*12-E35*12)/(ROUND(E35/(1-0.17),0)*12)</f>
        <v>0.170033204205866</v>
      </c>
      <c r="F45" s="15" t="n">
        <f aca="false">(ROUND(F35/(1-0.17),0)*12-F35*12)/(ROUND(F35/(1-0.17),0)*12)</f>
        <v>0.169996126390349</v>
      </c>
      <c r="H45" s="23" t="s">
        <v>58</v>
      </c>
      <c r="I45" s="23" t="s">
        <v>58</v>
      </c>
      <c r="J45" s="23" t="s">
        <v>58</v>
      </c>
    </row>
    <row r="46" customFormat="false" ht="21.75" hidden="false" customHeight="true" outlineLevel="0" collapsed="false">
      <c r="B46" s="7" t="s">
        <v>63</v>
      </c>
      <c r="C46" s="7"/>
      <c r="D46" s="7"/>
      <c r="E46" s="7"/>
      <c r="F46" s="7"/>
      <c r="G46" s="7"/>
      <c r="H46" s="7"/>
      <c r="I46" s="7"/>
      <c r="J46" s="7"/>
    </row>
    <row r="48" customFormat="false" ht="21.75" hidden="false" customHeight="true" outlineLevel="0" collapsed="false">
      <c r="A48" s="3" t="s">
        <v>64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30" hidden="false" customHeight="true" outlineLevel="0" collapsed="false">
      <c r="B49" s="9" t="s">
        <v>65</v>
      </c>
      <c r="C49" s="9"/>
      <c r="D49" s="18" t="s">
        <v>66</v>
      </c>
      <c r="E49" s="18"/>
      <c r="F49" s="19" t="s">
        <v>67</v>
      </c>
      <c r="G49" s="19"/>
      <c r="H49" s="20" t="s">
        <v>68</v>
      </c>
      <c r="I49" s="20"/>
      <c r="J49" s="21" t="s">
        <v>69</v>
      </c>
      <c r="K49" s="21"/>
    </row>
    <row r="50" customFormat="false" ht="19.5" hidden="false" customHeight="true" outlineLevel="0" collapsed="false">
      <c r="B50" s="9" t="s">
        <v>70</v>
      </c>
      <c r="C50" s="9"/>
      <c r="D50" s="28" t="n">
        <f aca="false">D35</f>
        <v>1499</v>
      </c>
      <c r="E50" s="28"/>
      <c r="F50" s="29" t="n">
        <f aca="false">D35*12</f>
        <v>17988</v>
      </c>
      <c r="G50" s="29"/>
      <c r="H50" s="30" t="n">
        <f aca="false">ROUND(D35/$D$8,0)</f>
        <v>16</v>
      </c>
      <c r="I50" s="30"/>
      <c r="J50" s="31" t="n">
        <f aca="false">ROUND(D35/(1-0.17),0)*12-D35*12</f>
        <v>3684</v>
      </c>
      <c r="K50" s="31"/>
    </row>
    <row r="51" customFormat="false" ht="19.5" hidden="false" customHeight="true" outlineLevel="0" collapsed="false">
      <c r="B51" s="9" t="s">
        <v>71</v>
      </c>
      <c r="C51" s="9"/>
      <c r="D51" s="28" t="n">
        <f aca="false">E35</f>
        <v>5999</v>
      </c>
      <c r="E51" s="28"/>
      <c r="F51" s="29" t="n">
        <f aca="false">E35*12</f>
        <v>71988</v>
      </c>
      <c r="G51" s="29"/>
      <c r="H51" s="30" t="n">
        <f aca="false">ROUND(E35/$D$8,0)</f>
        <v>62</v>
      </c>
      <c r="I51" s="30"/>
      <c r="J51" s="31" t="n">
        <f aca="false">ROUND(E35/(1-0.17),0)*12-E35*12</f>
        <v>14748</v>
      </c>
      <c r="K51" s="31"/>
    </row>
    <row r="52" customFormat="false" ht="19.5" hidden="false" customHeight="true" outlineLevel="0" collapsed="false">
      <c r="B52" s="9" t="s">
        <v>72</v>
      </c>
      <c r="C52" s="9"/>
      <c r="D52" s="28" t="n">
        <f aca="false">F35</f>
        <v>14999</v>
      </c>
      <c r="E52" s="28"/>
      <c r="F52" s="29" t="n">
        <f aca="false">F35*12</f>
        <v>179988</v>
      </c>
      <c r="G52" s="29"/>
      <c r="H52" s="30" t="n">
        <f aca="false">ROUND(F35/$D$8,0)</f>
        <v>156</v>
      </c>
      <c r="I52" s="30"/>
      <c r="J52" s="31" t="n">
        <f aca="false">ROUND(F35/(1-0.17),0)*12-F35*12</f>
        <v>36864</v>
      </c>
      <c r="K52" s="31"/>
    </row>
    <row r="54" customFormat="false" ht="21.75" hidden="false" customHeight="true" outlineLevel="0" collapsed="false">
      <c r="A54" s="3" t="s">
        <v>73</v>
      </c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24" hidden="false" customHeight="true" outlineLevel="0" collapsed="false">
      <c r="B55" s="9" t="s">
        <v>74</v>
      </c>
      <c r="C55" s="9"/>
      <c r="D55" s="9" t="s">
        <v>75</v>
      </c>
      <c r="E55" s="9"/>
      <c r="F55" s="32" t="s">
        <v>76</v>
      </c>
      <c r="G55" s="32"/>
      <c r="H55" s="33" t="s">
        <v>77</v>
      </c>
      <c r="I55" s="33"/>
      <c r="J55" s="33"/>
    </row>
    <row r="56" customFormat="false" ht="18" hidden="false" customHeight="true" outlineLevel="0" collapsed="false">
      <c r="B56" s="4" t="s">
        <v>78</v>
      </c>
      <c r="C56" s="4"/>
      <c r="D56" s="34" t="s">
        <v>79</v>
      </c>
      <c r="E56" s="34"/>
      <c r="F56" s="32" t="s">
        <v>80</v>
      </c>
      <c r="G56" s="32"/>
      <c r="H56" s="33" t="s">
        <v>81</v>
      </c>
      <c r="I56" s="33"/>
      <c r="J56" s="33"/>
    </row>
    <row r="57" customFormat="false" ht="18" hidden="false" customHeight="true" outlineLevel="0" collapsed="false">
      <c r="B57" s="4" t="s">
        <v>82</v>
      </c>
      <c r="C57" s="4"/>
      <c r="D57" s="34" t="s">
        <v>83</v>
      </c>
      <c r="E57" s="34"/>
      <c r="F57" s="32" t="s">
        <v>84</v>
      </c>
      <c r="G57" s="32"/>
      <c r="H57" s="33" t="s">
        <v>81</v>
      </c>
      <c r="I57" s="33"/>
      <c r="J57" s="33"/>
    </row>
    <row r="58" customFormat="false" ht="18" hidden="false" customHeight="true" outlineLevel="0" collapsed="false">
      <c r="B58" s="4" t="s">
        <v>85</v>
      </c>
      <c r="C58" s="4"/>
      <c r="D58" s="34" t="s">
        <v>86</v>
      </c>
      <c r="E58" s="34"/>
      <c r="F58" s="32" t="s">
        <v>86</v>
      </c>
      <c r="G58" s="32"/>
      <c r="H58" s="33" t="s">
        <v>86</v>
      </c>
      <c r="I58" s="33"/>
      <c r="J58" s="33"/>
    </row>
    <row r="59" customFormat="false" ht="18" hidden="false" customHeight="true" outlineLevel="0" collapsed="false">
      <c r="B59" s="4" t="s">
        <v>87</v>
      </c>
      <c r="C59" s="4"/>
      <c r="D59" s="34" t="s">
        <v>86</v>
      </c>
      <c r="E59" s="34"/>
      <c r="F59" s="32" t="s">
        <v>86</v>
      </c>
      <c r="G59" s="32"/>
      <c r="H59" s="33" t="s">
        <v>86</v>
      </c>
      <c r="I59" s="33"/>
      <c r="J59" s="33"/>
    </row>
    <row r="60" customFormat="false" ht="18" hidden="false" customHeight="true" outlineLevel="0" collapsed="false">
      <c r="B60" s="4" t="s">
        <v>88</v>
      </c>
      <c r="C60" s="4"/>
      <c r="D60" s="34" t="s">
        <v>86</v>
      </c>
      <c r="E60" s="34"/>
      <c r="F60" s="32" t="s">
        <v>86</v>
      </c>
      <c r="G60" s="32"/>
      <c r="H60" s="33" t="s">
        <v>86</v>
      </c>
      <c r="I60" s="33"/>
      <c r="J60" s="33"/>
    </row>
    <row r="61" customFormat="false" ht="18" hidden="false" customHeight="true" outlineLevel="0" collapsed="false">
      <c r="B61" s="4" t="s">
        <v>89</v>
      </c>
      <c r="C61" s="4"/>
      <c r="D61" s="34" t="s">
        <v>90</v>
      </c>
      <c r="E61" s="34"/>
      <c r="F61" s="32" t="s">
        <v>91</v>
      </c>
      <c r="G61" s="32"/>
      <c r="H61" s="33" t="s">
        <v>81</v>
      </c>
      <c r="I61" s="33"/>
      <c r="J61" s="33"/>
    </row>
    <row r="62" customFormat="false" ht="18" hidden="false" customHeight="true" outlineLevel="0" collapsed="false">
      <c r="B62" s="4" t="s">
        <v>92</v>
      </c>
      <c r="C62" s="4"/>
      <c r="D62" s="34" t="s">
        <v>58</v>
      </c>
      <c r="E62" s="34"/>
      <c r="F62" s="32" t="s">
        <v>86</v>
      </c>
      <c r="G62" s="32"/>
      <c r="H62" s="33" t="s">
        <v>86</v>
      </c>
      <c r="I62" s="33"/>
      <c r="J62" s="33"/>
    </row>
    <row r="63" customFormat="false" ht="18" hidden="false" customHeight="true" outlineLevel="0" collapsed="false">
      <c r="B63" s="4" t="s">
        <v>93</v>
      </c>
      <c r="C63" s="4"/>
      <c r="D63" s="34" t="s">
        <v>86</v>
      </c>
      <c r="E63" s="34"/>
      <c r="F63" s="32" t="s">
        <v>86</v>
      </c>
      <c r="G63" s="32"/>
      <c r="H63" s="33" t="s">
        <v>86</v>
      </c>
      <c r="I63" s="33"/>
      <c r="J63" s="33"/>
    </row>
    <row r="64" customFormat="false" ht="18" hidden="false" customHeight="true" outlineLevel="0" collapsed="false">
      <c r="B64" s="4" t="s">
        <v>94</v>
      </c>
      <c r="C64" s="4"/>
      <c r="D64" s="34" t="s">
        <v>86</v>
      </c>
      <c r="E64" s="34"/>
      <c r="F64" s="32" t="s">
        <v>86</v>
      </c>
      <c r="G64" s="32"/>
      <c r="H64" s="33" t="s">
        <v>86</v>
      </c>
      <c r="I64" s="33"/>
      <c r="J64" s="33"/>
    </row>
    <row r="65" customFormat="false" ht="18" hidden="false" customHeight="true" outlineLevel="0" collapsed="false">
      <c r="B65" s="4" t="s">
        <v>95</v>
      </c>
      <c r="C65" s="4"/>
      <c r="D65" s="34" t="s">
        <v>86</v>
      </c>
      <c r="E65" s="34"/>
      <c r="F65" s="32" t="s">
        <v>86</v>
      </c>
      <c r="G65" s="32"/>
      <c r="H65" s="33" t="s">
        <v>86</v>
      </c>
      <c r="I65" s="33"/>
      <c r="J65" s="33"/>
    </row>
    <row r="66" customFormat="false" ht="18" hidden="false" customHeight="true" outlineLevel="0" collapsed="false">
      <c r="B66" s="4" t="s">
        <v>96</v>
      </c>
      <c r="C66" s="4"/>
      <c r="D66" s="34" t="s">
        <v>97</v>
      </c>
      <c r="E66" s="34"/>
      <c r="F66" s="32" t="s">
        <v>98</v>
      </c>
      <c r="G66" s="32"/>
      <c r="H66" s="33" t="s">
        <v>99</v>
      </c>
      <c r="I66" s="33"/>
      <c r="J66" s="33"/>
    </row>
    <row r="67" customFormat="false" ht="18" hidden="false" customHeight="true" outlineLevel="0" collapsed="false">
      <c r="B67" s="4" t="s">
        <v>100</v>
      </c>
      <c r="C67" s="4"/>
      <c r="D67" s="34" t="s">
        <v>101</v>
      </c>
      <c r="E67" s="34"/>
      <c r="F67" s="32" t="s">
        <v>102</v>
      </c>
      <c r="G67" s="32"/>
      <c r="H67" s="33" t="s">
        <v>103</v>
      </c>
      <c r="I67" s="33"/>
      <c r="J67" s="33"/>
    </row>
    <row r="68" customFormat="false" ht="18" hidden="false" customHeight="true" outlineLevel="0" collapsed="false">
      <c r="B68" s="4" t="s">
        <v>104</v>
      </c>
      <c r="C68" s="4"/>
      <c r="D68" s="34" t="s">
        <v>105</v>
      </c>
      <c r="E68" s="34"/>
      <c r="F68" s="32" t="s">
        <v>106</v>
      </c>
      <c r="G68" s="32"/>
      <c r="H68" s="33" t="s">
        <v>107</v>
      </c>
      <c r="I68" s="33"/>
      <c r="J68" s="33"/>
    </row>
    <row r="69" customFormat="false" ht="18" hidden="false" customHeight="true" outlineLevel="0" collapsed="false">
      <c r="B69" s="4" t="s">
        <v>108</v>
      </c>
      <c r="C69" s="4"/>
      <c r="D69" s="34" t="s">
        <v>86</v>
      </c>
      <c r="E69" s="34"/>
      <c r="F69" s="32" t="s">
        <v>86</v>
      </c>
      <c r="G69" s="32"/>
      <c r="H69" s="33" t="s">
        <v>86</v>
      </c>
      <c r="I69" s="33"/>
      <c r="J69" s="33"/>
    </row>
    <row r="70" customFormat="false" ht="18" hidden="false" customHeight="true" outlineLevel="0" collapsed="false">
      <c r="B70" s="4" t="s">
        <v>109</v>
      </c>
      <c r="C70" s="4"/>
      <c r="D70" s="34" t="s">
        <v>58</v>
      </c>
      <c r="E70" s="34"/>
      <c r="F70" s="32" t="s">
        <v>58</v>
      </c>
      <c r="G70" s="32"/>
      <c r="H70" s="33" t="s">
        <v>110</v>
      </c>
      <c r="I70" s="33"/>
      <c r="J70" s="33"/>
    </row>
    <row r="71" customFormat="false" ht="18" hidden="false" customHeight="true" outlineLevel="0" collapsed="false">
      <c r="B71" s="4" t="s">
        <v>111</v>
      </c>
      <c r="C71" s="4"/>
      <c r="D71" s="34" t="s">
        <v>112</v>
      </c>
      <c r="E71" s="34"/>
      <c r="F71" s="32" t="s">
        <v>113</v>
      </c>
      <c r="G71" s="32"/>
      <c r="H71" s="33" t="s">
        <v>114</v>
      </c>
      <c r="I71" s="33"/>
      <c r="J71" s="33"/>
    </row>
    <row r="73" customFormat="false" ht="21.75" hidden="false" customHeight="true" outlineLevel="0" collapsed="false">
      <c r="A73" s="3" t="s">
        <v>115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9.5" hidden="false" customHeight="true" outlineLevel="0" collapsed="false">
      <c r="B74" s="35" t="s">
        <v>116</v>
      </c>
      <c r="C74" s="35"/>
      <c r="D74" s="36" t="s">
        <v>117</v>
      </c>
      <c r="E74" s="36"/>
      <c r="F74" s="36"/>
      <c r="G74" s="36"/>
      <c r="H74" s="36"/>
      <c r="I74" s="36"/>
      <c r="J74" s="36"/>
    </row>
    <row r="75" customFormat="false" ht="19.5" hidden="false" customHeight="true" outlineLevel="0" collapsed="false">
      <c r="B75" s="35" t="s">
        <v>118</v>
      </c>
      <c r="C75" s="35"/>
      <c r="D75" s="36" t="s">
        <v>119</v>
      </c>
      <c r="E75" s="36"/>
      <c r="F75" s="36"/>
      <c r="G75" s="36"/>
      <c r="H75" s="36"/>
      <c r="I75" s="36"/>
      <c r="J75" s="36"/>
    </row>
    <row r="76" customFormat="false" ht="19.5" hidden="false" customHeight="true" outlineLevel="0" collapsed="false">
      <c r="B76" s="35" t="s">
        <v>120</v>
      </c>
      <c r="C76" s="35"/>
      <c r="D76" s="36" t="s">
        <v>121</v>
      </c>
      <c r="E76" s="36"/>
      <c r="F76" s="36"/>
      <c r="G76" s="36"/>
      <c r="H76" s="36"/>
      <c r="I76" s="36"/>
      <c r="J76" s="36"/>
    </row>
    <row r="77" customFormat="false" ht="19.5" hidden="false" customHeight="true" outlineLevel="0" collapsed="false">
      <c r="B77" s="35" t="s">
        <v>122</v>
      </c>
      <c r="C77" s="35"/>
      <c r="D77" s="36" t="s">
        <v>123</v>
      </c>
      <c r="E77" s="36"/>
      <c r="F77" s="36"/>
      <c r="G77" s="36"/>
      <c r="H77" s="36"/>
      <c r="I77" s="36"/>
      <c r="J77" s="36"/>
    </row>
    <row r="78" customFormat="false" ht="19.5" hidden="false" customHeight="true" outlineLevel="0" collapsed="false">
      <c r="B78" s="35" t="s">
        <v>124</v>
      </c>
      <c r="C78" s="35"/>
      <c r="D78" s="36" t="s">
        <v>125</v>
      </c>
      <c r="E78" s="36"/>
      <c r="F78" s="36"/>
      <c r="G78" s="36"/>
      <c r="H78" s="36"/>
      <c r="I78" s="36"/>
      <c r="J78" s="36"/>
    </row>
    <row r="79" customFormat="false" ht="19.5" hidden="false" customHeight="true" outlineLevel="0" collapsed="false">
      <c r="B79" s="35" t="s">
        <v>126</v>
      </c>
      <c r="C79" s="35"/>
      <c r="D79" s="36" t="s">
        <v>127</v>
      </c>
      <c r="E79" s="36"/>
      <c r="F79" s="36"/>
      <c r="G79" s="36"/>
      <c r="H79" s="36"/>
      <c r="I79" s="36"/>
      <c r="J79" s="36"/>
    </row>
    <row r="81" customFormat="false" ht="18" hidden="false" customHeight="true" outlineLevel="0" collapsed="false">
      <c r="A81" s="37" t="s">
        <v>128</v>
      </c>
      <c r="B81" s="37"/>
      <c r="C81" s="37"/>
      <c r="D81" s="37"/>
      <c r="E81" s="37"/>
      <c r="F81" s="37"/>
      <c r="G81" s="37"/>
      <c r="H81" s="37"/>
      <c r="I81" s="37"/>
      <c r="J81" s="37"/>
      <c r="K81" s="37"/>
    </row>
  </sheetData>
  <mergeCells count="157">
    <mergeCell ref="A2:K2"/>
    <mergeCell ref="A3:K3"/>
    <mergeCell ref="B5:J5"/>
    <mergeCell ref="B6:C6"/>
    <mergeCell ref="D6:J6"/>
    <mergeCell ref="B7:C7"/>
    <mergeCell ref="D7:J7"/>
    <mergeCell ref="B8:C8"/>
    <mergeCell ref="D8:J8"/>
    <mergeCell ref="B9:C9"/>
    <mergeCell ref="D9:J9"/>
    <mergeCell ref="B10:C10"/>
    <mergeCell ref="D10:J10"/>
    <mergeCell ref="B11:C11"/>
    <mergeCell ref="D11:J11"/>
    <mergeCell ref="B12:C12"/>
    <mergeCell ref="D12:J12"/>
    <mergeCell ref="B13:C13"/>
    <mergeCell ref="D13:J13"/>
    <mergeCell ref="B14:C14"/>
    <mergeCell ref="D14:J14"/>
    <mergeCell ref="B15:C15"/>
    <mergeCell ref="D15:J15"/>
    <mergeCell ref="B17:J17"/>
    <mergeCell ref="A19:K19"/>
    <mergeCell ref="B20:C20"/>
    <mergeCell ref="H20:J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31:K31"/>
    <mergeCell ref="D32:F32"/>
    <mergeCell ref="H32:J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J46"/>
    <mergeCell ref="A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A54:K54"/>
    <mergeCell ref="B55:C55"/>
    <mergeCell ref="D55:E55"/>
    <mergeCell ref="F55:G55"/>
    <mergeCell ref="H55:J55"/>
    <mergeCell ref="B56:C56"/>
    <mergeCell ref="D56:E56"/>
    <mergeCell ref="F56:G56"/>
    <mergeCell ref="H56:J56"/>
    <mergeCell ref="B57:C57"/>
    <mergeCell ref="D57:E57"/>
    <mergeCell ref="F57:G57"/>
    <mergeCell ref="H57:J57"/>
    <mergeCell ref="B58:C58"/>
    <mergeCell ref="D58:E58"/>
    <mergeCell ref="F58:G58"/>
    <mergeCell ref="H58:J58"/>
    <mergeCell ref="B59:C59"/>
    <mergeCell ref="D59:E59"/>
    <mergeCell ref="F59:G59"/>
    <mergeCell ref="H59:J59"/>
    <mergeCell ref="B60:C60"/>
    <mergeCell ref="D60:E60"/>
    <mergeCell ref="F60:G60"/>
    <mergeCell ref="H60:J60"/>
    <mergeCell ref="B61:C61"/>
    <mergeCell ref="D61:E61"/>
    <mergeCell ref="F61:G61"/>
    <mergeCell ref="H61:J61"/>
    <mergeCell ref="B62:C62"/>
    <mergeCell ref="D62:E62"/>
    <mergeCell ref="F62:G62"/>
    <mergeCell ref="H62:J62"/>
    <mergeCell ref="B63:C63"/>
    <mergeCell ref="D63:E63"/>
    <mergeCell ref="F63:G63"/>
    <mergeCell ref="H63:J63"/>
    <mergeCell ref="B64:C64"/>
    <mergeCell ref="D64:E64"/>
    <mergeCell ref="F64:G64"/>
    <mergeCell ref="H64:J64"/>
    <mergeCell ref="B65:C65"/>
    <mergeCell ref="D65:E65"/>
    <mergeCell ref="F65:G65"/>
    <mergeCell ref="H65:J65"/>
    <mergeCell ref="B66:C66"/>
    <mergeCell ref="D66:E66"/>
    <mergeCell ref="F66:G66"/>
    <mergeCell ref="H66:J66"/>
    <mergeCell ref="B67:C67"/>
    <mergeCell ref="D67:E67"/>
    <mergeCell ref="F67:G67"/>
    <mergeCell ref="H67:J67"/>
    <mergeCell ref="B68:C68"/>
    <mergeCell ref="D68:E68"/>
    <mergeCell ref="F68:G68"/>
    <mergeCell ref="H68:J68"/>
    <mergeCell ref="B69:C69"/>
    <mergeCell ref="D69:E69"/>
    <mergeCell ref="F69:G69"/>
    <mergeCell ref="H69:J69"/>
    <mergeCell ref="B70:C70"/>
    <mergeCell ref="D70:E70"/>
    <mergeCell ref="F70:G70"/>
    <mergeCell ref="H70:J70"/>
    <mergeCell ref="B71:C71"/>
    <mergeCell ref="D71:E71"/>
    <mergeCell ref="F71:G71"/>
    <mergeCell ref="H71:J71"/>
    <mergeCell ref="A73:K73"/>
    <mergeCell ref="B74:C74"/>
    <mergeCell ref="D74:J74"/>
    <mergeCell ref="B75:C75"/>
    <mergeCell ref="D75:J75"/>
    <mergeCell ref="B76:C76"/>
    <mergeCell ref="D76:J76"/>
    <mergeCell ref="B77:C77"/>
    <mergeCell ref="D77:J77"/>
    <mergeCell ref="B78:C78"/>
    <mergeCell ref="D78:J78"/>
    <mergeCell ref="B79:C79"/>
    <mergeCell ref="D79:J79"/>
    <mergeCell ref="A81:K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2026-09-29T10:14:39Z</dcterms:created>
  <dc:creator>openpyxl</dc:creator>
  <dc:description/>
  <dc:language>en-IN</dc:language>
  <cp:lastModifiedBy/>
  <dcterms:modified xsi:type="dcterms:W3CDTF">2026-09-29T10:14:39Z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