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xecutive Summary" sheetId="1" state="visible" r:id="rId3"/>
    <sheet name="ICP &amp; Segmentation" sheetId="2" state="visible" r:id="rId4"/>
    <sheet name="GTM Strategy" sheetId="3" state="visible" r:id="rId5"/>
    <sheet name="Pricing" sheetId="4" state="visible" r:id="rId6"/>
    <sheet name="Revenue Model" sheetId="5" state="visible" r:id="rId7"/>
    <sheet name="Competitive Positioning" sheetId="6" state="visible" r:id="rId8"/>
    <sheet name="Assumptions &amp; Sources" sheetId="7" state="visible" r:id="rId9"/>
    <sheet name="Open Items" sheetId="8" state="visible" r:id="rId10"/>
  </sheets>
  <definedNames>
    <definedName function="false" hidden="true" localSheetId="6" name="_xlnm._FilterDatabase" vbProcedure="false">'Assumptions &amp; Sources'!$A$20:$I$49</definedName>
    <definedName function="false" hidden="true" localSheetId="5" name="_xlnm._FilterDatabase" vbProcedure="false">'Competitive Positioning'!$A$4:$R$20</definedName>
    <definedName function="false" hidden="true" localSheetId="1" name="_xlnm._FilterDatabase" vbProcedure="false">'ICP &amp; Segmentation'!$A$4:$L$9</definedName>
    <definedName function="false" hidden="false" localSheetId="7" name="_xlnm.Print_Titles" vbProcedure="false">'Open Items'!$4:$4</definedName>
    <definedName function="false" hidden="true" localSheetId="7" name="_xlnm._FilterDatabase" vbProcedure="false">'Open Items'!$A$4:$G$19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<sst xmlns="http://schemas.openxmlformats.org/spreadsheetml/2006/main" count="1685" uniqueCount="1051">
  <si>
    <t xml:space="preserve">EDGE.MEM - GTM &amp; Pricing Workbook</t>
  </si>
  <si>
    <t xml:space="preserve">Built from docs/ (PRD, landscape, team pricing workbook). Every value is Documented, Calculated, or an Estimate labelled as one on Assumptions &amp; Sources.</t>
  </si>
  <si>
    <t xml:space="preserve">Topic</t>
  </si>
  <si>
    <t xml:space="preserve">Summary</t>
  </si>
  <si>
    <t xml:space="preserve">Source</t>
  </si>
  <si>
    <t xml:space="preserve">Product overview</t>
  </si>
  <si>
    <t xml:space="preserve">EDGE.MEM is an offline-first knowledge engine for industrial edge devices: on-device hybrid (dense + BM25) search, policy-driven data residency, edge-to-cloud sync with explicit conflict cards, federation across devices, snapshot handoff, and an optional cloud LLM. An 8-tab console ships with it.</t>
  </si>
  <si>
    <t xml:space="preserve">docs/PRD.md - Goals, Features (shipped)</t>
  </si>
  <si>
    <t xml:space="preserve">Target customer</t>
  </si>
  <si>
    <t xml:space="preserve">Field technicians at industrial sites (plants, rigs, substations), with reliability engineers and site admins in the same organisation. Which role buys is not documented.</t>
  </si>
  <si>
    <t xml:space="preserve">docs/PRD.md - Problem, Users</t>
  </si>
  <si>
    <t xml:space="preserve">Core value proposition</t>
  </si>
  <si>
    <t xml:space="preserve">Answers and notes are available when connectivity is worst, and notes marked restricted never leave the device, by policy rather than by hope.</t>
  </si>
  <si>
    <t xml:space="preserve">docs/PRD.md - Problem, Goals 1-3</t>
  </si>
  <si>
    <t xml:space="preserve">GTM strategy</t>
  </si>
  <si>
    <t xml:space="preserve">Proposed (Estimate): founder-led direct sales to industrial sites (S1) in India via 30-day pilots, self-serve Starter for edge-AI builders (S2), regulated sites (S3) in Phase 2 once auth ships. See GTM Strategy.</t>
  </si>
  <si>
    <t xml:space="preserve">GTM Strategy sheet</t>
  </si>
  <si>
    <t xml:space="preserve">Pricing strategy</t>
  </si>
  <si>
    <t xml:space="preserve">Per fleet, three tiers billed annually: Starter INR 1,499, Pro INR 5,999, Enterprise INR 14,999 per month; monthly billing costs 17% more. No free tier.</t>
  </si>
  <si>
    <t xml:space="preserve">docs/EDGE-MEM PRICING MODEL.xlsx - rows 35-71</t>
  </si>
  <si>
    <t xml:space="preserve">Key assumptions</t>
  </si>
  <si>
    <t xml:space="preserve">INR currency. Estimates to confirm: 2%/month churn, 60/30/10 tier mix, 50 paying fleets in 12 months, funnel 25% / 40% / 50%.</t>
  </si>
  <si>
    <t xml:space="preserve">Assumptions &amp; Sources</t>
  </si>
  <si>
    <t xml:space="preserve">Product KPIs (documented)</t>
  </si>
  <si>
    <t xml:space="preserve">Offline hybrid search p95 under 10 ms; zero restricted points in cloud collections; audit green in CI. These are product metrics, not GTM metrics.</t>
  </si>
  <si>
    <t xml:space="preserve">docs/PRD.md - Success metrics</t>
  </si>
  <si>
    <t xml:space="preserve">GTM / revenue KPIs</t>
  </si>
  <si>
    <t xml:space="preserve">Assumptions &amp; Sources - section C</t>
  </si>
  <si>
    <t xml:space="preserve">Readiness dashboard (live formulas)</t>
  </si>
  <si>
    <t xml:space="preserve">Measure</t>
  </si>
  <si>
    <t xml:space="preserve">Value</t>
  </si>
  <si>
    <t xml:space="preserve">Meaning</t>
  </si>
  <si>
    <t xml:space="preserve">Revenue model status</t>
  </si>
  <si>
    <t xml:space="preserve">Complete only when every input is filled and tiers are priced.</t>
  </si>
  <si>
    <t xml:space="preserve">Model inputs still blank</t>
  </si>
  <si>
    <t xml:space="preserve">Out of 8 numeric inputs.</t>
  </si>
  <si>
    <t xml:space="preserve">Documented facts in register</t>
  </si>
  <si>
    <t xml:space="preserve">Have a source document and section.</t>
  </si>
  <si>
    <t xml:space="preserve">Calculated values</t>
  </si>
  <si>
    <t xml:space="preserve">Derived by formula.</t>
  </si>
  <si>
    <t xml:space="preserve">Estimates and assumptions</t>
  </si>
  <si>
    <t xml:space="preserve">Not documented; editable, must be confirmed.</t>
  </si>
  <si>
    <t xml:space="preserve">TBD items</t>
  </si>
  <si>
    <t xml:space="preserve">Not documented.</t>
  </si>
  <si>
    <t xml:space="preserve">TBD cells in GTM Strategy</t>
  </si>
  <si>
    <t xml:space="preserve">Channels, motion, KPIs, timeline.</t>
  </si>
  <si>
    <t xml:space="preserve">Tiers with a monthly price</t>
  </si>
  <si>
    <t xml:space="preserve">Pricing sheet section B.</t>
  </si>
  <si>
    <t xml:space="preserve">Open contradictions</t>
  </si>
  <si>
    <t xml:space="preserve">See Open Items.</t>
  </si>
  <si>
    <t xml:space="preserve">Open items in total</t>
  </si>
  <si>
    <t xml:space="preserve">Year 1 revenue</t>
  </si>
  <si>
    <t xml:space="preserve">INR, sum of M1-M12 MRR.</t>
  </si>
  <si>
    <t xml:space="preserve">Month-24 annualised run-rate</t>
  </si>
  <si>
    <t xml:space="preserve">INR, month-24 MRR x 12.</t>
  </si>
  <si>
    <t xml:space="preserve">ICP &amp; Segmentation</t>
  </si>
  <si>
    <t xml:space="preserve">S1 is documented in docs/PRD.md. S2-S5 are hypotheses. Triggers, decision makers and attractiveness are estimates to confirm in buyer interviews.</t>
  </si>
  <si>
    <t xml:space="preserve">ID</t>
  </si>
  <si>
    <t xml:space="preserve">Customer segment</t>
  </si>
  <si>
    <t xml:space="preserve">Customer type</t>
  </si>
  <si>
    <t xml:space="preserve">Company / customer characteristics</t>
  </si>
  <si>
    <t xml:space="preserve">Pain points</t>
  </si>
  <si>
    <t xml:space="preserve">Needs</t>
  </si>
  <si>
    <t xml:space="preserve">Use cases</t>
  </si>
  <si>
    <t xml:space="preserve">Buying triggers</t>
  </si>
  <si>
    <t xml:space="preserve">Decision makers</t>
  </si>
  <si>
    <t xml:space="preserve">Attractiveness</t>
  </si>
  <si>
    <t xml:space="preserve">Status</t>
  </si>
  <si>
    <t xml:space="preserve">S1</t>
  </si>
  <si>
    <t xml:space="preserve">Industrial sites: plants, rigs, substations</t>
  </si>
  <si>
    <t xml:space="preserve">Industrial operator (site-level)</t>
  </si>
  <si>
    <t xml:space="preserve">Field technicians work at sites where connectivity is often poor; some notes (personnel, contractor, restricted) must stay on the device.</t>
  </si>
  <si>
    <t xml:space="preserve">Cloud-only knowledge bases fail exactly when connectivity is worst; sensitive notes cannot leave the device.</t>
  </si>
  <si>
    <t xml:space="preserve">Offline hybrid search (single-digit ms p95 target); policy-driven residency; sync with explicit conflict cards; fleet visibility.</t>
  </si>
  <si>
    <t xml:space="preserve">Technician searches past incidents, manuals and sensor context offline and writes notes; reliability engineer reviews synced incidents and distils SOPs; site admin sets residency policy.</t>
  </si>
  <si>
    <t xml:space="preserve">Unplanned downtime from a repeat fault; a repair stalled by a network outage; a data-residency or audit finding</t>
  </si>
  <si>
    <t xml:space="preserve">Site admin / plant IT-OT head (economic buyer); reliability engineer (champion)</t>
  </si>
  <si>
    <t xml:space="preserve">High - the only segment in the PRD; Phase-1 focus</t>
  </si>
  <si>
    <t xml:space="preserve">Documented (segment + pain); triggers, buyers, score = Estimate</t>
  </si>
  <si>
    <t xml:space="preserve">docs/PRD.md - Problem, Users, Goals</t>
  </si>
  <si>
    <t xml:space="preserve">S2</t>
  </si>
  <si>
    <t xml:space="preserve">Robots, kiosks, vehicles, mobile devices (edge AI)</t>
  </si>
  <si>
    <t xml:space="preserve">Edge-device builders / operators</t>
  </si>
  <si>
    <t xml:space="preserve">Devices that must search locally generated information without a continuous cloud dependency.</t>
  </si>
  <si>
    <t xml:space="preserve">Limited connectivity, critical latency, data that cannot always leave the device.</t>
  </si>
  <si>
    <t xml:space="preserve">Local semantic memory; sync when connectivity returns.</t>
  </si>
  <si>
    <t xml:space="preserve">Robot, kiosk or vehicle recalls local incidents and manuals without a cloud round-trip</t>
  </si>
  <si>
    <t xml:space="preserve">New device line that needs on-device AI memory; cloud latency or cost complaints</t>
  </si>
  <si>
    <t xml:space="preserve">Head of edge / embedded engineering; CTO</t>
  </si>
  <si>
    <t xml:space="preserve">Medium - technical fit, needs SDK packaging</t>
  </si>
  <si>
    <t xml:space="preserve">Not in docs/ - requires confirmation</t>
  </si>
  <si>
    <t xml:space="preserve">Hackathon Problem Statement 03 (given in chat; not in docs/)</t>
  </si>
  <si>
    <t xml:space="preserve">S3</t>
  </si>
  <si>
    <t xml:space="preserve">Regulated / air-gapped sites</t>
  </si>
  <si>
    <t xml:space="preserve">Regulated operator</t>
  </si>
  <si>
    <t xml:space="preserve">Hypothesis: sites that need a provable 'data never leaves the device' control.</t>
  </si>
  <si>
    <t xml:space="preserve">Hypothesis only.</t>
  </si>
  <si>
    <t xml:space="preserve">Provable residency; auth and roles (PRD S9 is open); audit trail of what left the device.</t>
  </si>
  <si>
    <t xml:space="preserve">Air-gapped site keeps restricted notes on the device with provable residency</t>
  </si>
  <si>
    <t xml:space="preserve">Compliance audit; policy banning plant data in the cloud</t>
  </si>
  <si>
    <t xml:space="preserve">CISO / plant security lead with the OT head</t>
  </si>
  <si>
    <t xml:space="preserve">Medium-High - strongest need, blocked until auth and roles (S9) ship</t>
  </si>
  <si>
    <t xml:space="preserve">Hypothesis - unvalidated</t>
  </si>
  <si>
    <t xml:space="preserve">docs/COMPETITIVE-LANDSCAPE.md - s.7 (row 1), s.8</t>
  </si>
  <si>
    <t xml:space="preserve">S4</t>
  </si>
  <si>
    <t xml:space="preserve">Teams migrating off MongoDB Realm / Atlas Device Sync</t>
  </si>
  <si>
    <t xml:space="preserve">Mobile/edge app teams</t>
  </si>
  <si>
    <t xml:space="preserve">Hypothesis: apps orphaned by the 2025-09-30 Device Sync shutdown.</t>
  </si>
  <si>
    <t xml:space="preserve">Sync service ended.</t>
  </si>
  <si>
    <t xml:space="preserve">A replacement sync story.</t>
  </si>
  <si>
    <t xml:space="preserve">Replace Device Sync for offline-first apps</t>
  </si>
  <si>
    <t xml:space="preserve">Device Sync end-of-life (2025-09-30, secondary sources)</t>
  </si>
  <si>
    <t xml:space="preserve">Mobile engineering lead</t>
  </si>
  <si>
    <t xml:space="preserve">Low - EDGE.MEM has no mobile SDK</t>
  </si>
  <si>
    <t xml:space="preserve">Hypothesis - weak fit (EDGE.MEM has no mobile SDK)</t>
  </si>
  <si>
    <t xml:space="preserve">docs/COMPETITIVE-LANDSCAPE.md - s.7 (row 2)</t>
  </si>
  <si>
    <t xml:space="preserve">S5</t>
  </si>
  <si>
    <t xml:space="preserve">Field-service AI buyers who need offline</t>
  </si>
  <si>
    <t xml:space="preserve">Service organisations</t>
  </si>
  <si>
    <t xml:space="preserve">Hypothesis: buyers of SaaS field-service AI whose products make no offline claim (Aquant page reviewed; others unread).</t>
  </si>
  <si>
    <t xml:space="preserve">Offline retrieval.</t>
  </si>
  <si>
    <t xml:space="preserve">Technicians get AI answers from manuals and past jobs when offsite and offline</t>
  </si>
  <si>
    <t xml:space="preserve">Customers of field-service AI losing answers without signal</t>
  </si>
  <si>
    <t xml:space="preserve">VP field service / service operations</t>
  </si>
  <si>
    <t xml:space="preserve">Medium - best reached through OEM partners</t>
  </si>
  <si>
    <t xml:space="preserve">docs/COMPETITIVE-LANDSCAPE.md - s.7 (row 3)</t>
  </si>
  <si>
    <t xml:space="preserve">User roles inside a customer (PRD 'Users'); which role is the buyer is not documented</t>
  </si>
  <si>
    <t xml:space="preserve">Role</t>
  </si>
  <si>
    <t xml:space="preserve">Type</t>
  </si>
  <si>
    <t xml:space="preserve">What they do</t>
  </si>
  <si>
    <t xml:space="preserve">Buying role</t>
  </si>
  <si>
    <t xml:space="preserve">U1</t>
  </si>
  <si>
    <t xml:space="preserve">Field technician</t>
  </si>
  <si>
    <t xml:space="preserve">User</t>
  </si>
  <si>
    <t xml:space="preserve">Searches and writes notes on a device, often offline.</t>
  </si>
  <si>
    <t xml:space="preserve">End user - drives adoption, not the purchase</t>
  </si>
  <si>
    <t xml:space="preserve">Documented (role); buying role = Estimate</t>
  </si>
  <si>
    <t xml:space="preserve">docs/PRD.md - Users</t>
  </si>
  <si>
    <t xml:space="preserve">U2</t>
  </si>
  <si>
    <t xml:space="preserve">Reliability engineer</t>
  </si>
  <si>
    <t xml:space="preserve">Reviews synced incidents, distils them into SOPs.</t>
  </si>
  <si>
    <t xml:space="preserve">Champion / technical evaluator</t>
  </si>
  <si>
    <t xml:space="preserve">U3</t>
  </si>
  <si>
    <t xml:space="preserve">Site admin</t>
  </si>
  <si>
    <t xml:space="preserve">User / policy owner</t>
  </si>
  <si>
    <t xml:space="preserve">Sets data-residency policy and manages the fleet.</t>
  </si>
  <si>
    <t xml:space="preserve">Economic buyer - owns residency policy and the fleet</t>
  </si>
  <si>
    <t xml:space="preserve">GTM Strategy</t>
  </si>
  <si>
    <t xml:space="preserve">docs/ has no GTM plan. The value propositions are documented; channels, motion, KPIs and timeline below are a proposed plan (Estimate) sized by the Revenue Model.</t>
  </si>
  <si>
    <t xml:space="preserve">Target segment</t>
  </si>
  <si>
    <t xml:space="preserve">Value proposition</t>
  </si>
  <si>
    <t xml:space="preserve">Acquisition channel</t>
  </si>
  <si>
    <t xml:space="preserve">Sales channel</t>
  </si>
  <si>
    <t xml:space="preserve">Distribution channel (today)</t>
  </si>
  <si>
    <t xml:space="preserve">Marketing approach</t>
  </si>
  <si>
    <t xml:space="preserve">Sales motion</t>
  </si>
  <si>
    <t xml:space="preserve">Key activities</t>
  </si>
  <si>
    <t xml:space="preserve">KPIs</t>
  </si>
  <si>
    <t xml:space="preserve">Phase / timeline</t>
  </si>
  <si>
    <t xml:space="preserve">Industrial sites</t>
  </si>
  <si>
    <t xml:space="preserve">Search past incidents, manuals and sensor context with no network; keep restricted notes on the device by policy; sync with explicit conflict cards when connectivity returns (PRD Problem, Goals 1-3).</t>
  </si>
  <si>
    <t xml:space="preserve">Plant IT/OT outreach on LinkedIn, industrial IoT trade shows, the offline demo video</t>
  </si>
  <si>
    <t xml:space="preserve">Founder-led direct sales; system integrators once repeatable</t>
  </si>
  <si>
    <t xml:space="preserve">Self-hosted from the repo via start.sh + bun; licence not yet declared (Open Item OI-C2)</t>
  </si>
  <si>
    <t xml:space="preserve">Proof content: "search still works with the network cut"; case study from the first pilot</t>
  </si>
  <si>
    <t xml:space="preserve">Pilot then annual contract (Starter / Pro)</t>
  </si>
  <si>
    <t xml:space="preserve">30-day pilots, convert to annual, publish case study</t>
  </si>
  <si>
    <t xml:space="preserve">Phase 1: M1-M12</t>
  </si>
  <si>
    <t xml:space="preserve">Value prop documented; GTM plan = Estimate</t>
  </si>
  <si>
    <t xml:space="preserve">Robots, kiosks, vehicles, mobile devices</t>
  </si>
  <si>
    <t xml:space="preserve">Local semantic memory without a continuous cloud dependency (Hackathon Problem Statement 03 (given in chat; not in docs/))</t>
  </si>
  <si>
    <t xml:space="preserve">Edge-AI developer communities, GitHub, Qdrant ecosystem</t>
  </si>
  <si>
    <t xml:space="preserve">Self-serve Starter; direct sales for Pro</t>
  </si>
  <si>
    <t xml:space="preserve">Developer docs and benchmark posts (offline p95 under 10 ms)</t>
  </si>
  <si>
    <t xml:space="preserve">Product-led: Starter self-serve, upgrade to Pro</t>
  </si>
  <si>
    <t xml:space="preserve">Package the engine as an SDK / container</t>
  </si>
  <si>
    <t xml:space="preserve">Starter sign-ups per month; Starter-to-Pro upgrades</t>
  </si>
  <si>
    <t xml:space="preserve">Phase 1-2: M6-M18</t>
  </si>
  <si>
    <t xml:space="preserve">Not in docs/; GTM plan = Estimate</t>
  </si>
  <si>
    <t xml:space="preserve">Hypothesis: provable data residency (landscape s.7)</t>
  </si>
  <si>
    <t xml:space="preserve">Referrals from S1 customers; security and compliance events</t>
  </si>
  <si>
    <t xml:space="preserve">Direct enterprise sales</t>
  </si>
  <si>
    <t xml:space="preserve">Residency proof: policy decision trace and zero restricted points in cloud (PRD KPI)</t>
  </si>
  <si>
    <t xml:space="preserve">Enterprise pilot with a security review</t>
  </si>
  <si>
    <t xml:space="preserve">Ship auth/roles (S9) and an audit trail, then sell Enterprise</t>
  </si>
  <si>
    <t xml:space="preserve">Enterprise fleets signed; 0 restricted points in cloud</t>
  </si>
  <si>
    <t xml:space="preserve">Phase 2: after the 50-fleet trigger (M13-M24)</t>
  </si>
  <si>
    <t xml:space="preserve">Hypothesis; GTM plan = Estimate</t>
  </si>
  <si>
    <t xml:space="preserve">Realm / Device Sync migrants</t>
  </si>
  <si>
    <t xml:space="preserve">Hypothesis: replacement sync (landscape s.7)</t>
  </si>
  <si>
    <t xml:space="preserve">Migration guides aimed at former Device Sync users</t>
  </si>
  <si>
    <t xml:space="preserve">Self-serve</t>
  </si>
  <si>
    <t xml:space="preserve">Comparison content vs Device Sync</t>
  </si>
  <si>
    <t xml:space="preserve">Deprioritised until a mobile SDK exists</t>
  </si>
  <si>
    <t xml:space="preserve">Migration sign-ups</t>
  </si>
  <si>
    <t xml:space="preserve">Deferred (after M24)</t>
  </si>
  <si>
    <t xml:space="preserve">Field-service AI buyers</t>
  </si>
  <si>
    <t xml:space="preserve">Hypothesis: offline retrieval wedge (landscape s.7)</t>
  </si>
  <si>
    <t xml:space="preserve">Partnerships with field-service software vendors</t>
  </si>
  <si>
    <t xml:space="preserve">OEM / partner resale</t>
  </si>
  <si>
    <t xml:space="preserve">Co-marketed "offline mode" inside partner products</t>
  </si>
  <si>
    <t xml:space="preserve">Partner-led</t>
  </si>
  <si>
    <t xml:space="preserve">Sign one OEM partner</t>
  </si>
  <si>
    <t xml:space="preserve">Partner-sourced fleets</t>
  </si>
  <si>
    <t xml:space="preserve">Phase 2: M13-M24</t>
  </si>
  <si>
    <t xml:space="preserve">Customer journey and conversion stages (targets calculated from the Revenue Model and funnel estimates on Assumptions &amp; Sources)</t>
  </si>
  <si>
    <t xml:space="preserve">#</t>
  </si>
  <si>
    <t xml:space="preserve">Stage</t>
  </si>
  <si>
    <t xml:space="preserve">Existing product asset (documented)</t>
  </si>
  <si>
    <t xml:space="preserve">Conversion metric</t>
  </si>
  <si>
    <t xml:space="preserve">Target</t>
  </si>
  <si>
    <t xml:space="preserve">Owner</t>
  </si>
  <si>
    <t xml:space="preserve">Awareness</t>
  </si>
  <si>
    <t xml:space="preserve">none documented</t>
  </si>
  <si>
    <t xml:space="preserve">Qualified leads per month</t>
  </si>
  <si>
    <t xml:space="preserve">Founder</t>
  </si>
  <si>
    <t xml:space="preserve">Calculated</t>
  </si>
  <si>
    <t xml:space="preserve">Evaluation / demo</t>
  </si>
  <si>
    <t xml:space="preserve">Overview tab: fleet-learning hero + demo walkthrough (PRD Features)</t>
  </si>
  <si>
    <t xml:space="preserve">Founder / solutions engineer</t>
  </si>
  <si>
    <t xml:space="preserve">Pilot</t>
  </si>
  <si>
    <t xml:space="preserve">Bootstrap a device from cloud; snapshot handoff; policy simulate (PRD Features, Goals 5)</t>
  </si>
  <si>
    <t xml:space="preserve">Solutions engineer</t>
  </si>
  <si>
    <t xml:space="preserve">Purchase</t>
  </si>
  <si>
    <t xml:space="preserve">Tiers and prices in docs/EDGE-MEM PRICING MODEL.xlsx; no licence or contract terms yet</t>
  </si>
  <si>
    <t xml:space="preserve">Onboarding</t>
  </si>
  <si>
    <t xml:space="preserve">Policy engine with decision trace; Cloud browser (PRD Features)</t>
  </si>
  <si>
    <t xml:space="preserve">Time to first successful sync</t>
  </si>
  <si>
    <t xml:space="preserve">Within 1 day of install</t>
  </si>
  <si>
    <t xml:space="preserve">Estimate - confirm</t>
  </si>
  <si>
    <t xml:space="preserve">Expansion</t>
  </si>
  <si>
    <t xml:space="preserve">Federation across devices; fleet overview (PRD Goals 4, Features)</t>
  </si>
  <si>
    <t xml:space="preserve">Starter-to-Pro upgrade rate</t>
  </si>
  <si>
    <t xml:space="preserve">20% of Starter fleets within 12 months</t>
  </si>
  <si>
    <t xml:space="preserve">Account owner</t>
  </si>
  <si>
    <t xml:space="preserve">GTM prerequisites and blockers documented in docs/ (must be resolved before selling)</t>
  </si>
  <si>
    <t xml:space="preserve">Prerequisite</t>
  </si>
  <si>
    <t xml:space="preserve">Detail</t>
  </si>
  <si>
    <t xml:space="preserve">Decide a licence</t>
  </si>
  <si>
    <t xml:space="preserve">The repo declares none; nothing is commercially usable until it does.</t>
  </si>
  <si>
    <t xml:space="preserve">Open</t>
  </si>
  <si>
    <t xml:space="preserve">docs/COMPETITIVE-LANDSCAPE.md - s.8 (product 1)</t>
  </si>
  <si>
    <t xml:space="preserve">Confirm Qdrant Edge redistribution terms</t>
  </si>
  <si>
    <t xml:space="preserve">The engine is beta and no licence terms were found on the pages reviewed.</t>
  </si>
  <si>
    <t xml:space="preserve">docs/COMPETITIVE-LANDSCAPE.md - s.9 (#3)</t>
  </si>
  <si>
    <t xml:space="preserve">Auth and roles (PRD S9)</t>
  </si>
  <si>
    <t xml:space="preserve">No role separation for policy or cloud delete; a multi-user deployment is unsafe.</t>
  </si>
  <si>
    <t xml:space="preserve">docs/PRD.md - S9</t>
  </si>
  <si>
    <t xml:space="preserve">Verify the residency differentiator</t>
  </si>
  <si>
    <t xml:space="preserve">Couchbase channels and ObjectBox / Turso sync filtering may match it; do not make it the headline until checked.</t>
  </si>
  <si>
    <t xml:space="preserve">docs/COMPETITIVE-LANDSCAPE.md - s.8 (product 2), s.9 (#1)</t>
  </si>
  <si>
    <t xml:space="preserve">Audit trail of what left the device</t>
  </si>
  <si>
    <t xml:space="preserve">Recommended to close the trust gap Actian sells into.</t>
  </si>
  <si>
    <t xml:space="preserve">Recommended - not built</t>
  </si>
  <si>
    <t xml:space="preserve">docs/COMPETITIVE-LANDSCAPE.md - s.8 (product 3)</t>
  </si>
  <si>
    <t xml:space="preserve">Re-run the e2e audit</t>
  </si>
  <si>
    <t xml:space="preserve">The landscape notes the EDGE.MEM row rests on unit tests; the audit was not re-run.</t>
  </si>
  <si>
    <t xml:space="preserve">docs/COMPETITIVE-LANDSCAPE.md - s.9 (#10)</t>
  </si>
  <si>
    <t xml:space="preserve">Buyer interviews</t>
  </si>
  <si>
    <t xml:space="preserve">5 to 10 plant IT/OT or security leads to validate demand and willingness to pay.</t>
  </si>
  <si>
    <t xml:space="preserve">docs/COMPETITIVE-LANDSCAPE.md - s.7, s.9 (#9)</t>
  </si>
  <si>
    <t xml:space="preserve">Pricing</t>
  </si>
  <si>
    <t xml:space="preserve">Pricing decisions come from docs/EDGE-MEM PRICING MODEL.xlsx (team workbook). Prices are INR per fleet per month on the annual plan.</t>
  </si>
  <si>
    <t xml:space="preserve">A. Pricing decisions</t>
  </si>
  <si>
    <t xml:space="preserve">Decision</t>
  </si>
  <si>
    <t xml:space="preserve">Source / basis</t>
  </si>
  <si>
    <t xml:space="preserve">Notes</t>
  </si>
  <si>
    <t xml:space="preserve">Pricing metric (billable unit)</t>
  </si>
  <si>
    <t xml:space="preserve">Per fleet</t>
  </si>
  <si>
    <t xml:space="preserve">docs/EDGE-MEM PRICING MODEL.xlsx - A19 "per fleet / month"</t>
  </si>
  <si>
    <t xml:space="preserve">Documented</t>
  </si>
  <si>
    <t xml:space="preserve">Every price and cost line in the team workbook is per fleet per month.</t>
  </si>
  <si>
    <t xml:space="preserve">Free tier offered?</t>
  </si>
  <si>
    <t xml:space="preserve">No</t>
  </si>
  <si>
    <t xml:space="preserve">docs/EDGE-MEM PRICING MODEL.xlsx - D35</t>
  </si>
  <si>
    <t xml:space="preserve">Lowest tier (Starter) is paid: INR 1,499/month. Only the Qdrant Cloud free tier is used for Starter COGS.</t>
  </si>
  <si>
    <t xml:space="preserve">Delivery model for paid offering</t>
  </si>
  <si>
    <t xml:space="preserve">Both</t>
  </si>
  <si>
    <t xml:space="preserve">docs/EDGE-MEM PRICING MODEL.xlsx - D15, A19</t>
  </si>
  <si>
    <t xml:space="preserve">Edge engine is self-hosted; the vendor pays for cloud LLM and Qdrant Cloud. The hosted part conflicts with the PRD non-goal (OI-C1).</t>
  </si>
  <si>
    <t xml:space="preserve">B. Tiers and packages (from the team pricing workbook)</t>
  </si>
  <si>
    <t xml:space="preserve">Tier</t>
  </si>
  <si>
    <t xml:space="preserve">Tier name</t>
  </si>
  <si>
    <t xml:space="preserve">Price (INR per year, annual plan)</t>
  </si>
  <si>
    <t xml:space="preserve">Billing frequency</t>
  </si>
  <si>
    <t xml:space="preserve">Monthly-equivalent price (INR)</t>
  </si>
  <si>
    <t xml:space="preserve">Usage limits</t>
  </si>
  <si>
    <t xml:space="preserve">Discount</t>
  </si>
  <si>
    <t xml:space="preserve">Tier A</t>
  </si>
  <si>
    <t xml:space="preserve">Starter</t>
  </si>
  <si>
    <t xml:space="preserve">Low-maturity fleet: one site, one device</t>
  </si>
  <si>
    <t xml:space="preserve">Annual</t>
  </si>
  <si>
    <t xml:space="preserve">1 device; 50,000 points; 1 federation peer; 50 distill + 200 auto-tag / month; Qdrant free tier; community support</t>
  </si>
  <si>
    <t xml:space="preserve">docs/EDGE-MEM PRICING MODEL.xlsx rows 35-45 and 56-71.</t>
  </si>
  <si>
    <t xml:space="preserve">Tier B</t>
  </si>
  <si>
    <t xml:space="preserve">Pro</t>
  </si>
  <si>
    <t xml:space="preserve">Mid-maturity fleet: several devices on one site</t>
  </si>
  <si>
    <t xml:space="preserve">5 devices; 1,000,000 points; 5 peers; 500 distill + 2,000 auto-tag / month; Qdrant 1 vCPU / 2 GB; email support</t>
  </si>
  <si>
    <t xml:space="preserve">Tier C</t>
  </si>
  <si>
    <t xml:space="preserve">Enterprise</t>
  </si>
  <si>
    <t xml:space="preserve">High-maturity fleet: multi-site, regulated</t>
  </si>
  <si>
    <t xml:space="preserve">Unlimited devices, points and peers; 2,500 distill + 10,000 auto-tag / month; Qdrant 2 vCPU / 4 GB; dedicated support + SLA</t>
  </si>
  <si>
    <t xml:space="preserve">C. Features by tier (from the team pricing workbook, rows 56-71)</t>
  </si>
  <si>
    <t xml:space="preserve">Feature</t>
  </si>
  <si>
    <t xml:space="preserve">PRD source</t>
  </si>
  <si>
    <t xml:space="preserve">Hybrid dense + BM25 search, on-device, offline</t>
  </si>
  <si>
    <t xml:space="preserve">docs/PRD.md - Goals 1; Features: Search</t>
  </si>
  <si>
    <t xml:space="preserve">Included</t>
  </si>
  <si>
    <t xml:space="preserve">Row 58.</t>
  </si>
  <si>
    <t xml:space="preserve">Filters and score breakdown; mode compare</t>
  </si>
  <si>
    <t xml:space="preserve">docs/PRD.md - Features: Search</t>
  </si>
  <si>
    <t xml:space="preserve">Row 59.</t>
  </si>
  <si>
    <t xml:space="preserve">Policy-driven residency (local_only / queued / sync_now)</t>
  </si>
  <si>
    <t xml:space="preserve">docs/PRD.md - Goals 2; Features: Policy</t>
  </si>
  <si>
    <t xml:space="preserve">Row 60 (local_only enforcement).</t>
  </si>
  <si>
    <t xml:space="preserve">Edge-to-cloud sync with explicit conflict cards</t>
  </si>
  <si>
    <t xml:space="preserve">docs/PRD.md - Goals 3; Features: Sync</t>
  </si>
  <si>
    <t xml:space="preserve">Core feature, not itemised in the team workbook; assumed in every tier.</t>
  </si>
  <si>
    <t xml:space="preserve">Federation across device processes</t>
  </si>
  <si>
    <t xml:space="preserve">docs/PRD.md - Goals 4</t>
  </si>
  <si>
    <t xml:space="preserve">Row 61: 1 peer / 5 peers / unlimited.</t>
  </si>
  <si>
    <t xml:space="preserve">Portable snapshot handoff</t>
  </si>
  <si>
    <t xml:space="preserve">docs/PRD.md - Goals 5</t>
  </si>
  <si>
    <t xml:space="preserve">Not included</t>
  </si>
  <si>
    <t xml:space="preserve">Row 62.</t>
  </si>
  <si>
    <t xml:space="preserve">Optional cloud LLM: SOP distill, auto-tag</t>
  </si>
  <si>
    <t xml:space="preserve">docs/PRD.md - Goals 6</t>
  </si>
  <si>
    <t xml:space="preserve">Rows 66-67: 50 / 500 / 2,500 distill and 200 / 2,000 / 10,000 auto-tag per month.</t>
  </si>
  <si>
    <t xml:space="preserve">Fleet Overview and fleet-learning hero</t>
  </si>
  <si>
    <t xml:space="preserve">docs/PRD.md - Features: Overview</t>
  </si>
  <si>
    <t xml:space="preserve">Core feature, not itemised; assumed in every tier.</t>
  </si>
  <si>
    <t xml:space="preserve">Live SSE fleet metrics and export</t>
  </si>
  <si>
    <t xml:space="preserve">docs/PRD.md - Features: Metrics</t>
  </si>
  <si>
    <t xml:space="preserve">Row 64.</t>
  </si>
  <si>
    <t xml:space="preserve">Append-only activity log, search, export</t>
  </si>
  <si>
    <t xml:space="preserve">docs/PRD.md - Features: Activity</t>
  </si>
  <si>
    <t xml:space="preserve">Core feature, not itemised. The immutable audit log is a separate Phase-2 item (row 70).</t>
  </si>
  <si>
    <t xml:space="preserve">Cloud collections browser (search / delete)</t>
  </si>
  <si>
    <t xml:space="preserve">docs/PRD.md - Features: Cloud</t>
  </si>
  <si>
    <t xml:space="preserve">Row 63.</t>
  </si>
  <si>
    <t xml:space="preserve">D. Add-ons and expansion</t>
  </si>
  <si>
    <t xml:space="preserve">Item</t>
  </si>
  <si>
    <t xml:space="preserve">Basis in docs</t>
  </si>
  <si>
    <t xml:space="preserve">Price</t>
  </si>
  <si>
    <t xml:space="preserve">Cloud LLM synthesis (SOP distill, auto-tag) as an add-on</t>
  </si>
  <si>
    <t xml:space="preserve">docs/PRD.md Goals 6: optional, never required</t>
  </si>
  <si>
    <t xml:space="preserve">Bundled in each tier (allowances above)</t>
  </si>
  <si>
    <t xml:space="preserve">Expansion: more devices / more sites per customer</t>
  </si>
  <si>
    <t xml:space="preserve">docs/PRD.md Goals 4 (federation across devices)</t>
  </si>
  <si>
    <t xml:space="preserve">Also feeds Revenue Model input M05 (unit growth).</t>
  </si>
  <si>
    <t xml:space="preserve">Discounts (volume, annual prepay, pilots)</t>
  </si>
  <si>
    <t xml:space="preserve">not documented</t>
  </si>
  <si>
    <t xml:space="preserve">docs/EDGE-MEM PRICING MODEL.xlsx D6, D11.</t>
  </si>
  <si>
    <t xml:space="preserve">E. Market price benchmarks (competitors' prices, not ours; verified 2026-09-29)</t>
  </si>
  <si>
    <t xml:space="preserve">Vendor / plan</t>
  </si>
  <si>
    <t xml:space="preserve">Model</t>
  </si>
  <si>
    <t xml:space="preserve">Unit</t>
  </si>
  <si>
    <t xml:space="preserve">Evidence</t>
  </si>
  <si>
    <t xml:space="preserve">Turso Free</t>
  </si>
  <si>
    <t xml:space="preserve">Tiered usage</t>
  </si>
  <si>
    <t xml:space="preserve">5 GB storage, 500M reads, 10M writes, 3 GB syncs</t>
  </si>
  <si>
    <t xml:space="preserve">USD/month</t>
  </si>
  <si>
    <t xml:space="preserve">Primary pricing page</t>
  </si>
  <si>
    <t xml:space="preserve">https://turso.tech/pricing</t>
  </si>
  <si>
    <t xml:space="preserve">Turso Developer</t>
  </si>
  <si>
    <t xml:space="preserve">9 GB, 2.5B reads, 25M writes, 10 GB syncs</t>
  </si>
  <si>
    <t xml:space="preserve">Turso Scaler</t>
  </si>
  <si>
    <t xml:space="preserve">24 GB, 100B reads, 100M writes, 24 GB syncs</t>
  </si>
  <si>
    <t xml:space="preserve">Turso Pro</t>
  </si>
  <si>
    <t xml:space="preserve">50 GB, 250B reads, 250M writes, 100 GB syncs</t>
  </si>
  <si>
    <t xml:space="preserve">Qdrant Cloud Free</t>
  </si>
  <si>
    <t xml:space="preserve">Free cluster</t>
  </si>
  <si>
    <t xml:space="preserve">0.5 vCPU / 1 GB RAM / 4 GB disk</t>
  </si>
  <si>
    <t xml:space="preserve">https://qdrant.tech/pricing/</t>
  </si>
  <si>
    <t xml:space="preserve">ObjectBox Sync</t>
  </si>
  <si>
    <t xml:space="preserve">Paid subscription over free core</t>
  </si>
  <si>
    <t xml:space="preserve">Not published</t>
  </si>
  <si>
    <t xml:space="preserve">Not published (contact sales)</t>
  </si>
  <si>
    <t xml:space="preserve">Primary page</t>
  </si>
  <si>
    <t xml:space="preserve">https://objectbox.io/sync/</t>
  </si>
  <si>
    <t xml:space="preserve">Actian VectorAI DB</t>
  </si>
  <si>
    <t xml:space="preserve">Free Community + trial + Enterprise</t>
  </si>
  <si>
    <t xml:space="preserve">Commercial price not published</t>
  </si>
  <si>
    <t xml:space="preserve">Press coverage</t>
  </si>
  <si>
    <t xml:space="preserve">see docs/competitive-landscape/landscape.csv (C10)</t>
  </si>
  <si>
    <t xml:space="preserve">F. Consistency checks (formulas)</t>
  </si>
  <si>
    <t xml:space="preserve">Check</t>
  </si>
  <si>
    <t xml:space="preserve">Result</t>
  </si>
  <si>
    <t xml:space="preserve">Pricing metric chosen?</t>
  </si>
  <si>
    <t xml:space="preserve">Revenue Model units depend on it.</t>
  </si>
  <si>
    <t xml:space="preserve">Tiers with a usable monthly price</t>
  </si>
  <si>
    <t xml:space="preserve">A tier needs price + billing frequency.</t>
  </si>
  <si>
    <t xml:space="preserve">Feature cells still TBD</t>
  </si>
  <si>
    <t xml:space="preserve">Tier packaging is undecided until this is 0.</t>
  </si>
  <si>
    <t xml:space="preserve">Hosted delivery vs PRD non-goal</t>
  </si>
  <si>
    <t xml:space="preserve">Open Items OI-C1.</t>
  </si>
  <si>
    <t xml:space="preserve">Revenue Model</t>
  </si>
  <si>
    <t xml:space="preserve">Computes from Assumptions &amp; Sources. Currency is INR; prices are the annual-plan monthly equivalents.</t>
  </si>
  <si>
    <t xml:space="preserve">Model status</t>
  </si>
  <si>
    <t xml:space="preserve">Method: churn applies to opening customers; new customers start paying in the month acquired; revenue = MRR (annual-billed cash timing not modelled).</t>
  </si>
  <si>
    <t xml:space="preserve">Pricing metric / unit</t>
  </si>
  <si>
    <t xml:space="preserve">Currency</t>
  </si>
  <si>
    <t xml:space="preserve">Inputs (linked, green; edit on Assumptions &amp; Sources)</t>
  </si>
  <si>
    <t xml:space="preserve">Opening paying customers</t>
  </si>
  <si>
    <t xml:space="preserve">New paying customers per month</t>
  </si>
  <si>
    <t xml:space="preserve">Monthly logo churn</t>
  </si>
  <si>
    <t xml:space="preserve">Billable units per customer, month 1</t>
  </si>
  <si>
    <t xml:space="preserve">Monthly growth in units per retained customer</t>
  </si>
  <si>
    <t xml:space="preserve">Tier A share</t>
  </si>
  <si>
    <t xml:space="preserve">Tier B share</t>
  </si>
  <si>
    <t xml:space="preserve">Tier C share</t>
  </si>
  <si>
    <t xml:space="preserve">Tier A monthly-equivalent price</t>
  </si>
  <si>
    <t xml:space="preserve">Tier B monthly-equivalent price</t>
  </si>
  <si>
    <t xml:space="preserve">Tier C monthly-equivalent price</t>
  </si>
  <si>
    <t xml:space="preserve">Monthly projection (24 months)</t>
  </si>
  <si>
    <t xml:space="preserve">Line item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</si>
  <si>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</si>
  <si>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</si>
  <si>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</si>
  <si>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</si>
  <si>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</si>
  <si>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</si>
  <si>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</si>
  <si>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</si>
  <si>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</si>
  <si>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</si>
  <si>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</si>
  <si>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</si>
  <si>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</si>
  <si>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</si>
  <si>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</si>
  <si>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</si>
  <si>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</si>
  <si>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</si>
  <si>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</si>
  <si>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</si>
  <si>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</si>
  <si>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</si>
  <si>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</si>
  <si>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</si>
  <si>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Opening customers</t>
  </si>
  <si>
    <t xml:space="preserve">customers</t>
  </si>
  <si>
    <t xml:space="preserve">New customers</t>
  </si>
  <si>
    <t xml:space="preserve">Churned customers</t>
  </si>
  <si>
    <t xml:space="preserve">Closing customers</t>
  </si>
  <si>
    <t xml:space="preserve">Billable units per customer</t>
  </si>
  <si>
    <t xml:space="preserve">units</t>
  </si>
  <si>
    <t xml:space="preserve">Total billable units</t>
  </si>
  <si>
    <t xml:space="preserve">Tier A units</t>
  </si>
  <si>
    <t xml:space="preserve">Tier B units</t>
  </si>
  <si>
    <t xml:space="preserve">Tier C units</t>
  </si>
  <si>
    <t xml:space="preserve">Tier A MRR</t>
  </si>
  <si>
    <t xml:space="preserve">currency/month</t>
  </si>
  <si>
    <t xml:space="preserve">Tier B MRR</t>
  </si>
  <si>
    <t xml:space="preserve">Tier C MRR</t>
  </si>
  <si>
    <t xml:space="preserve">Total MRR</t>
  </si>
  <si>
    <t xml:space="preserve">Annualised run-rate (MRR x 12)</t>
  </si>
  <si>
    <t xml:space="preserve">currency/year</t>
  </si>
  <si>
    <t xml:space="preserve">ARPU (MRR per closing customer)</t>
  </si>
  <si>
    <t xml:space="preserve">Cumulative revenue</t>
  </si>
  <si>
    <t xml:space="preserve">currency</t>
  </si>
  <si>
    <t xml:space="preserve">Summary (outputs)</t>
  </si>
  <si>
    <t xml:space="preserve">Metric</t>
  </si>
  <si>
    <t xml:space="preserve">Year 1 revenue (M1-M12)</t>
  </si>
  <si>
    <t xml:space="preserve">Year 2 revenue (M13-M24)</t>
  </si>
  <si>
    <t xml:space="preserve">Month-12 annualised run-rate</t>
  </si>
  <si>
    <t xml:space="preserve">Closing customers, month 24</t>
  </si>
  <si>
    <t xml:space="preserve">Annual logo retention implied by churn input</t>
  </si>
  <si>
    <t xml:space="preserve">Annual net revenue retention implied (churn x unit growth)</t>
  </si>
  <si>
    <t xml:space="preserve">Blended monthly price per unit, month 24</t>
  </si>
  <si>
    <t xml:space="preserve">Year 1 gross profit (blended margin)</t>
  </si>
  <si>
    <t xml:space="preserve">Unit economics (COGS, gross margin, CAC ceiling, LTV, funnel, TAM/SAM/SOM) are on Assumptions &amp; Sources section C. Not modelled: tier upgrades, monthly-vs-annual billing mix, price changes over time.</t>
  </si>
  <si>
    <t xml:space="preserve">Competitive Positioning</t>
  </si>
  <si>
    <t xml:space="preserve">Source: docs/competitive-landscape/landscape.csv (researched 2026-09-29). Capability cells: Y stated, N stated absent, ? not stated in sources reviewed (not the same as no).</t>
  </si>
  <si>
    <t xml:space="preserve">Competitor</t>
  </si>
  <si>
    <t xml:space="preserve">Relationship</t>
  </si>
  <si>
    <t xml:space="preserve">Pricing (model; detail)</t>
  </si>
  <si>
    <t xml:space="preserve">Maturity / limits</t>
  </si>
  <si>
    <t xml:space="preserve">On-device vector</t>
  </si>
  <si>
    <t xml:space="preserve">Hybrid search</t>
  </si>
  <si>
    <t xml:space="preserve">Sync to server</t>
  </si>
  <si>
    <t xml:space="preserve">Selective sync</t>
  </si>
  <si>
    <t xml:space="preserve">Conflict handling</t>
  </si>
  <si>
    <t xml:space="preserve">Ops console</t>
  </si>
  <si>
    <t xml:space="preserve">Where they are stronger (vs EDGE.MEM)</t>
  </si>
  <si>
    <t xml:space="preserve">Our differentiation</t>
  </si>
  <si>
    <t xml:space="preserve">Confidence</t>
  </si>
  <si>
    <t xml:space="preserve">Last verified</t>
  </si>
  <si>
    <t xml:space="preserve">Source URLs</t>
  </si>
  <si>
    <t xml:space="preserve">C01</t>
  </si>
  <si>
    <t xml:space="preserve">Qdrant Edge</t>
  </si>
  <si>
    <t xml:space="preserve">Platform / substitute-in-waiting</t>
  </si>
  <si>
    <t xml:space="preserve">Robots, kiosks, industrial PCs, drones, mobile, wearables</t>
  </si>
  <si>
    <t xml:space="preserve">Not stated</t>
  </si>
  <si>
    <t xml:space="preserve">Beta (docs: 'API may change'; edge page: 'Apply to Join the Beta'); ? (not stated on pages reviewed)</t>
  </si>
  <si>
    <t xml:space="preserve">Y</t>
  </si>
  <si>
    <t xml:space="preserve">?</t>
  </si>
  <si>
    <t xml:space="preserve">EDGE.MEM is built on this engine; Qdrant can ship any of these layers itself (platform risk)</t>
  </si>
  <si>
    <t xml:space="preserve">EDGE.MEM adds what the engine does not advertise: policy-driven residency floor, conflict cards, fleet console, LLM workflows</t>
  </si>
  <si>
    <t xml:space="preserve">primary-page</t>
  </si>
  <si>
    <t xml:space="preserve">High</t>
  </si>
  <si>
    <t xml:space="preserve">2026-09-29</t>
  </si>
  <si>
    <t xml:space="preserve">https://qdrant.tech/documentation/edge/
https://qdrant.tech/edge/
https://qdrant.tech/blog/qdrant-edge/</t>
  </si>
  <si>
    <t xml:space="preserve">C02</t>
  </si>
  <si>
    <t xml:space="preserve">Couchbase Lite + Sync Gateway / Capella App Services</t>
  </si>
  <si>
    <t xml:space="preserve">Direct (assembled stack)</t>
  </si>
  <si>
    <t xml:space="preserve">Mobile, IoT and edge apps needing offline-first sync</t>
  </si>
  <si>
    <t xml:space="preserve">Capella: consumption (per node-hour); Lite EE: per licensed device (agreement language); Per-hour figures seen only on third-party aggregators; not verified</t>
  </si>
  <si>
    <t xml:space="preserve">Vector search documented; GA/beta not stated on page reviewed; Vector search marked Enterprise</t>
  </si>
  <si>
    <t xml:space="preserve">Mature sync protocol, enterprise vendor, support, multi-platform SDKs; EDGE.MEM is Python-engine + web console only</t>
  </si>
  <si>
    <t xml:space="preserve">Open engine choice; residency policy is a first-class, auditable rule set (to confirm vs Couchbase channels)</t>
  </si>
  <si>
    <t xml:space="preserve">primary-page (docs) + search-summary (sync, pricing)</t>
  </si>
  <si>
    <t xml:space="preserve">Medium</t>
  </si>
  <si>
    <t xml:space="preserve">https://docs.couchbase.com/couchbase-lite/current/android/vector-search.html
https://www.couchbase.com/blog/vector-search-at-the-edge-with-couchbase-mobile/
https://www.couchbase.com/products/sync-gateway/
https://www.couchbase.com/pricing/</t>
  </si>
  <si>
    <t xml:space="preserve">C03</t>
  </si>
  <si>
    <t xml:space="preserve">ObjectBox (vector DB + Sync)</t>
  </si>
  <si>
    <t xml:space="preserve">Mobile, IoT, embedded devices</t>
  </si>
  <si>
    <t xml:space="preserve">Free core; Sync = paid subscription; Not published (contact sales)</t>
  </si>
  <si>
    <t xml:space="preserve">Vector search released early 2024 (vendor claim); Core Apache-2.0; Sync commercial</t>
  </si>
  <si>
    <t xml:space="preserve">Native mobile/embedded SDKs (Java, Swift, Dart, C++, Go); small-footprint C++ core; proven sync product</t>
  </si>
  <si>
    <t xml:space="preserve">Hybrid dense+BM25 on device (verified in code); residency policy</t>
  </si>
  <si>
    <t xml:space="preserve">High (features) / n.a. (pricing unpublished)</t>
  </si>
  <si>
    <t xml:space="preserve">https://objectbox.io/vector-database/
https://objectbox.io/sync/</t>
  </si>
  <si>
    <t xml:space="preserve">C04</t>
  </si>
  <si>
    <t xml:space="preserve">Turso (libSQL embedded replicas + vector)</t>
  </si>
  <si>
    <t xml:space="preserve">App developers; per-tenant / per-agent databases</t>
  </si>
  <si>
    <t xml:space="preserve">Tiered usage: Free / Developer / Scaler / Pro / Enterprise; Free $0; Developer $4.99/mo; Scaler $24.92/mo; Pro $416.58/mo; Enterprise custom (Turso pricing page)</t>
  </si>
  <si>
    <t xml:space="preserve">Embedded replicas GA; offline writes beta; ?</t>
  </si>
  <si>
    <t xml:space="preserve">Far cheaper entry point and general SQL; writes offline still beta so gap may close</t>
  </si>
  <si>
    <t xml:space="preserve">Purpose-built for knowledge retrieval (hybrid, filters, score breakdown) and residency policy</t>
  </si>
  <si>
    <t xml:space="preserve">https://turso.tech/pricing
https://turso.tech/local-first</t>
  </si>
  <si>
    <t xml:space="preserve">C05</t>
  </si>
  <si>
    <t xml:space="preserve">MongoDB Atlas Device Sync / Realm</t>
  </si>
  <si>
    <t xml:space="preserve">Displaced incumbent (retired)</t>
  </si>
  <si>
    <t xml:space="preserve">Mobile / edge apps that used Realm Sync</t>
  </si>
  <si>
    <t xml:space="preserve">n.a.</t>
  </si>
  <si>
    <t xml:space="preserve">Discontinued; Realm remains open-source without sync; Realm OSS</t>
  </si>
  <si>
    <t xml:space="preserve">Ended:</t>
  </si>
  <si>
    <t xml:space="preserve">EDGE.MEM is not a drop-in Realm replacement (no mobile SDKs)</t>
  </si>
  <si>
    <t xml:space="preserve">Teams orphaned by the shutdown need a new sync story (segment opportunity, unquantified)</t>
  </si>
  <si>
    <t xml:space="preserve">secondary (search summary of MongoDB forum posts; primary pages returned 403/404)</t>
  </si>
  <si>
    <t xml:space="preserve">https://www.mongodb.com/community/forums/t/atlas-device-sync-end-of-life-and-deprecation/296687
https://objectbox.io/alternative-to-mongodb-sync/</t>
  </si>
  <si>
    <t xml:space="preserve">C06</t>
  </si>
  <si>
    <t xml:space="preserve">LanceDB</t>
  </si>
  <si>
    <t xml:space="preserve">Substitute (DIY)</t>
  </si>
  <si>
    <t xml:space="preserve">AI/ML developers; multimodal datasets</t>
  </si>
  <si>
    <t xml:space="preserve">OSS free; Cloud usage-based; Enterprise custom; Not verified on primary page (pricing URL returned a contact page)</t>
  </si>
  <si>
    <t xml:space="preserve">OSS + Cloud (public beta per one source) + Enterprise; Apache-2.0 (OSS)</t>
  </si>
  <si>
    <t xml:space="preserve">N</t>
  </si>
  <si>
    <t xml:space="preserve">Strong multimodal/columnar story; larger dev community</t>
  </si>
  <si>
    <t xml:space="preserve">Built-in edge-to-server sync, conflicts and residency policy</t>
  </si>
  <si>
    <t xml:space="preserve">vendor-comparison (Actian, a competitor) + search-summary</t>
  </si>
  <si>
    <t xml:space="preserve">Low-Medium</t>
  </si>
  <si>
    <t xml:space="preserve">https://www.actian.com/blog/developer/comparing-embedded-vector-databases/
https://github.com/lancedb/lancedb
https://www.lancedb.com/</t>
  </si>
  <si>
    <t xml:space="preserve">C07</t>
  </si>
  <si>
    <t xml:space="preserve">Chroma</t>
  </si>
  <si>
    <t xml:space="preserve">Prototype / RAG developers</t>
  </si>
  <si>
    <t xml:space="preserve">?; OSS (open-source per Actian)</t>
  </si>
  <si>
    <t xml:space="preserve">Ubiquity and zero-setup for prototypes</t>
  </si>
  <si>
    <t xml:space="preserve">Hybrid, sync, policy, conflicts</t>
  </si>
  <si>
    <t xml:space="preserve">vendor-comparison (Actian)</t>
  </si>
  <si>
    <t xml:space="preserve">Low</t>
  </si>
  <si>
    <t xml:space="preserve">https://www.actian.com/blog/developer/comparing-embedded-vector-databases/</t>
  </si>
  <si>
    <t xml:space="preserve">C08</t>
  </si>
  <si>
    <t xml:space="preserve">Milvus Lite</t>
  </si>
  <si>
    <t xml:space="preserve">Python developers prototyping for Milvus</t>
  </si>
  <si>
    <t xml:space="preserve">OSS</t>
  </si>
  <si>
    <t xml:space="preserve">Documented for small-scale use; ? (not on page)</t>
  </si>
  <si>
    <t xml:space="preserve">Manual</t>
  </si>
  <si>
    <t xml:space="preserve">Same ecosystem as Milvus/Zilliz Cloud; Linux and macOS only</t>
  </si>
  <si>
    <t xml:space="preserve">Continuous two-way sync with conflicts vs one-shot migration</t>
  </si>
  <si>
    <t xml:space="preserve">https://milvus.io/docs/milvus_lite.md</t>
  </si>
  <si>
    <t xml:space="preserve">C09</t>
  </si>
  <si>
    <t xml:space="preserve">sqlite-vec</t>
  </si>
  <si>
    <t xml:space="preserve">Developers already on SQLite (incl. Raspberry Pi, WASM)</t>
  </si>
  <si>
    <t xml:space="preserve">Pre-v1 ('expect breaking changes'); Apache-2.0 / MIT</t>
  </si>
  <si>
    <t xml:space="preserve">Tiny footprint, portability, zero infrastructure; pairs with Turso/others for sync</t>
  </si>
  <si>
    <t xml:space="preserve">Turnkey hybrid search, sync, policy</t>
  </si>
  <si>
    <t xml:space="preserve">https://github.com/asg017/sqlite-vec</t>
  </si>
  <si>
    <t xml:space="preserve">C10</t>
  </si>
  <si>
    <t xml:space="preserve">Direct (new entrant)</t>
  </si>
  <si>
    <t xml:space="preserve">Regulated, disconnected and edge deployments (manufacturing, government)</t>
  </si>
  <si>
    <t xml:space="preserve">Free Community Edition, 30-day trial; Enterprise; Commercial pricing not published</t>
  </si>
  <si>
    <t xml:space="preserve">Launched 2026-04-28 (press coverage); Commercial; Community Edition free</t>
  </si>
  <si>
    <t xml:space="preserve">Enterprise vendor, compliance claims (SOC 2 Type II, HIPAA, GDPR, ISO 27001 — vendor claims), AES-256; EDGE.MEM has none of these certifications</t>
  </si>
  <si>
    <t xml:space="preserve">Two-way sync with conflict resolution, residency policy, console (Actian says it has no sync dependency)</t>
  </si>
  <si>
    <t xml:space="preserve">vendor-claim + press coverage</t>
  </si>
  <si>
    <t xml:space="preserve">https://www.actian.com/blog/product-launches/introducing-actian-vectorai-db-ai-where-your-data-lives/
https://www.actian.com/company/press-releases/actian-launches-vectorai-db-with-22x-faster-vector-search-for-production-ai-anywhere-including-the-edge/</t>
  </si>
  <si>
    <t xml:space="preserve">C11</t>
  </si>
  <si>
    <t xml:space="preserve">Aquant</t>
  </si>
  <si>
    <t xml:space="preserve">Indirect (solves the same user problem)</t>
  </si>
  <si>
    <t xml:space="preserve">Field technicians, service teams, call centers (industrial equipment, medical devices, energy, etc.)</t>
  </si>
  <si>
    <t xml:space="preserve">Production; customer case (Makino) cited; SaaS</t>
  </si>
  <si>
    <t xml:space="preserve">Finished product: conversational troubleshooting, voice, analytics, parts agents, customer references</t>
  </si>
  <si>
    <t xml:space="preserve">Works with no connectivity; restricted notes never leave the device</t>
  </si>
  <si>
    <t xml:space="preserve">primary-page (outcome numbers are vendor claims)</t>
  </si>
  <si>
    <t xml:space="preserve">High (capabilities)</t>
  </si>
  <si>
    <t xml:space="preserve">https://www.aquant.ai/solutions/field-technicians</t>
  </si>
  <si>
    <t xml:space="preserve">C12</t>
  </si>
  <si>
    <t xml:space="preserve">PTC ServiceMax AI</t>
  </si>
  <si>
    <t xml:space="preserve">Indirect</t>
  </si>
  <si>
    <t xml:space="preserve">Field service organisations</t>
  </si>
  <si>
    <t xml:space="preserve">Production; SaaS</t>
  </si>
  <si>
    <t xml:space="preserve">Enterprise field-service suite and PTC distribution</t>
  </si>
  <si>
    <t xml:space="preserve">Offline-first and data residency (if ServiceMax lacks it — unverified)</t>
  </si>
  <si>
    <t xml:space="preserve">search-summary</t>
  </si>
  <si>
    <t xml:space="preserve">https://www.ptc.com/en/products/servicemax/ai-service</t>
  </si>
  <si>
    <t xml:space="preserve">C13</t>
  </si>
  <si>
    <t xml:space="preserve">Siemens Industrial Copilot</t>
  </si>
  <si>
    <t xml:space="preserve">Industrial engineering and operations (TIA Portal etc.)</t>
  </si>
  <si>
    <t xml:space="preserve">Engineering Copilot introduced July 2024; Commercial</t>
  </si>
  <si>
    <t xml:space="preserve">Siemens installed base and distribution</t>
  </si>
  <si>
    <t xml:space="preserve">Purpose-built offline memory</t>
  </si>
  <si>
    <t xml:space="preserve">search-summary + third-party review</t>
  </si>
  <si>
    <t xml:space="preserve">https://www.siemens.com/en-us/company/insights/generative-ai-industrial-copilot/
https://industrialmonitordirect.com/blogs/knowledgebase/siemens-engineering-copilot-tia-portal-practical-review</t>
  </si>
  <si>
    <t xml:space="preserve">C14</t>
  </si>
  <si>
    <t xml:space="preserve">Dozuki</t>
  </si>
  <si>
    <t xml:space="preserve">Manufacturing and field operations</t>
  </si>
  <si>
    <t xml:space="preserve">Structured, controlled SOP authoring and training</t>
  </si>
  <si>
    <t xml:space="preserve">Semantic retrieval over free-form incident notes</t>
  </si>
  <si>
    <t xml:space="preserve">https://www.dozuki.com/creatorpro-ai</t>
  </si>
  <si>
    <t xml:space="preserve">C15</t>
  </si>
  <si>
    <t xml:space="preserve">Augmentir</t>
  </si>
  <si>
    <t xml:space="preserve">Frontline maintenance, quality, safety, assembly</t>
  </si>
  <si>
    <t xml:space="preserve">Skills management, workflows, collaboration</t>
  </si>
  <si>
    <t xml:space="preserve">Offline semantic memory</t>
  </si>
  <si>
    <t xml:space="preserve">secondary (comparison site)</t>
  </si>
  <si>
    <t xml:space="preserve">https://sourceforge.net/software/compare/Augmentir-vs-Dozuki/</t>
  </si>
  <si>
    <t xml:space="preserve">E00</t>
  </si>
  <si>
    <t xml:space="preserve">EDGE.MEM (this project)</t>
  </si>
  <si>
    <t xml:space="preserve">Self</t>
  </si>
  <si>
    <t xml:space="preserve">Industrial field technicians, reliability engineers, site admins (docs/PRD.md)</t>
  </si>
  <si>
    <t xml:space="preserve">Hackathon-stage: no license file, no auth/RBAC, single-threaded engine, depends on Qdrant Edge beta; NONE declared in repo</t>
  </si>
  <si>
    <t xml:space="preserve">See docs/COMPETITIVE-LANDSCAPE.md §5</t>
  </si>
  <si>
    <t xml:space="preserve">repo-verified (unit tests; full e2e audit not re-run in this pass)</t>
  </si>
  <si>
    <t xml:space="preserve">docs/PRD.md
mini-services/edge-engine/src/engine.py
mini-services/edge-engine/tests/</t>
  </si>
  <si>
    <t xml:space="preserve">Summary counts (formulas over the table above; EDGE.MEM's own row E00 excluded)</t>
  </si>
  <si>
    <t xml:space="preserve">Count</t>
  </si>
  <si>
    <t xml:space="preserve">Competitors tracked</t>
  </si>
  <si>
    <t xml:space="preserve">Direct competitors</t>
  </si>
  <si>
    <t xml:space="preserve">Indirect competitors</t>
  </si>
  <si>
    <t xml:space="preserve">Rows at Low / Low-Medium confidence</t>
  </si>
  <si>
    <t xml:space="preserve">Competitors with a stated sync-to-server capability (Y)</t>
  </si>
  <si>
    <t xml:space="preserve">Competitors with stated conflict handling (Y)</t>
  </si>
  <si>
    <t xml:space="preserve">Inputs in blue-on-yellow are the ONLY cells to edit. Type: Documented (source cited) / Calculated (formula) / Estimate (not documented; editable, confirm) / Assumption.</t>
  </si>
  <si>
    <t xml:space="preserve">A. Model inputs (feed the Revenue Model). Estimates are editable; the model recalculates.</t>
  </si>
  <si>
    <t xml:space="preserve">Input</t>
  </si>
  <si>
    <t xml:space="preserve">Source document</t>
  </si>
  <si>
    <t xml:space="preserve">Source section</t>
  </si>
  <si>
    <t xml:space="preserve">Status / confidence</t>
  </si>
  <si>
    <t xml:space="preserve">A01</t>
  </si>
  <si>
    <t xml:space="preserve">Reporting currency</t>
  </si>
  <si>
    <t xml:space="preserve">INR</t>
  </si>
  <si>
    <t xml:space="preserve">text</t>
  </si>
  <si>
    <t xml:space="preserve">docs/EDGE-MEM PRICING MODEL.xlsx</t>
  </si>
  <si>
    <t xml:space="preserve">D7 Primary currency</t>
  </si>
  <si>
    <t xml:space="preserve">Team pricing workbook sets INR as primary currency; USD shown only as an indicative conversion.</t>
  </si>
  <si>
    <t xml:space="preserve">M01</t>
  </si>
  <si>
    <t xml:space="preserve">Estimate</t>
  </si>
  <si>
    <t xml:space="preserve">-</t>
  </si>
  <si>
    <t xml:space="preserve">Estimate - launch from zero</t>
  </si>
  <si>
    <t xml:space="preserve">No paying customers today (pre-launch).</t>
  </si>
  <si>
    <t xml:space="preserve">M02</t>
  </si>
  <si>
    <t xml:space="preserve">customers/month</t>
  </si>
  <si>
    <t xml:space="preserve">this sheet</t>
  </si>
  <si>
    <t xml:space="preserve">E01, E02, M03</t>
  </si>
  <si>
    <t xml:space="preserve">Constant monthly adds that reach the 50-fleet Phase-2 trigger in E02 months after churn.</t>
  </si>
  <si>
    <t xml:space="preserve">M03</t>
  </si>
  <si>
    <t xml:space="preserve">% of opening customers</t>
  </si>
  <si>
    <t xml:space="preserve">2%/month logo churn (~22%/year); B2B SMB SaaS benchmark range 1-3%/month. Annual billing should push it lower.</t>
  </si>
  <si>
    <t xml:space="preserve">M04</t>
  </si>
  <si>
    <t xml:space="preserve">units/customer</t>
  </si>
  <si>
    <t xml:space="preserve">A19 Cost basis per fleet</t>
  </si>
  <si>
    <t xml:space="preserve">Pricing metric is per fleet, so one billable unit per customer.</t>
  </si>
  <si>
    <t xml:space="preserve">M05</t>
  </si>
  <si>
    <t xml:space="preserve">Monthly growth in billable units per retained customer</t>
  </si>
  <si>
    <t xml:space="preserve">% per month</t>
  </si>
  <si>
    <t xml:space="preserve">Estimate - conservative</t>
  </si>
  <si>
    <t xml:space="preserve">Per-fleet pricing: expansion comes from tier upgrades, not unit growth, and is not modelled (0%).</t>
  </si>
  <si>
    <t xml:space="preserve">M06</t>
  </si>
  <si>
    <t xml:space="preserve">Tier A share of billable units</t>
  </si>
  <si>
    <t xml:space="preserve">% (A+B+C = 100%)</t>
  </si>
  <si>
    <t xml:space="preserve">Starter share. 60/30/10 pyramid for a launch-stage product; confirm after first 10 deals.</t>
  </si>
  <si>
    <t xml:space="preserve">M07</t>
  </si>
  <si>
    <t xml:space="preserve">Tier B share of billable units</t>
  </si>
  <si>
    <t xml:space="preserve">Pro share. 60/30/10 pyramid for a launch-stage product; confirm after first 10 deals.</t>
  </si>
  <si>
    <t xml:space="preserve">M08</t>
  </si>
  <si>
    <t xml:space="preserve">Tier C share of billable units</t>
  </si>
  <si>
    <t xml:space="preserve">Enterprise share. 60/30/10 pyramid for a launch-stage product; confirm after first 10 deals.</t>
  </si>
  <si>
    <t xml:space="preserve">Revenue model inputs complete?</t>
  </si>
  <si>
    <t xml:space="preserve">flag</t>
  </si>
  <si>
    <t xml:space="preserve">this sheet + Pricing</t>
  </si>
  <si>
    <t xml:space="preserve">Complete when the pricing metric is chosen, M01-M05 are numbers, tier shares sum to 100% and every tier with a share has a price.</t>
  </si>
  <si>
    <t xml:space="preserve">Tier shares total</t>
  </si>
  <si>
    <t xml:space="preserve">%</t>
  </si>
  <si>
    <t xml:space="preserve">Must equal 100% before the model computes.</t>
  </si>
  <si>
    <t xml:space="preserve">count</t>
  </si>
  <si>
    <t xml:space="preserve">B. Register: documented facts, benchmarks and values the docs leave open</t>
  </si>
  <si>
    <t xml:space="preserve">D01</t>
  </si>
  <si>
    <t xml:space="preserve">Product name</t>
  </si>
  <si>
    <t xml:space="preserve">EDGE.MEM</t>
  </si>
  <si>
    <t xml:space="preserve">docs/PRD.md</t>
  </si>
  <si>
    <t xml:space="preserve">Title</t>
  </si>
  <si>
    <t xml:space="preserve">D02</t>
  </si>
  <si>
    <t xml:space="preserve">Problem solved</t>
  </si>
  <si>
    <t xml:space="preserve">Field technicians at industrial sites need past incidents, manuals and sensor context while offline; some notes must never leave the device.</t>
  </si>
  <si>
    <t xml:space="preserve">Problem</t>
  </si>
  <si>
    <t xml:space="preserve">Cloud-only knowledge bases 'fail exactly when connectivity is worst'.</t>
  </si>
  <si>
    <t xml:space="preserve">D03</t>
  </si>
  <si>
    <t xml:space="preserve">User roles</t>
  </si>
  <si>
    <t xml:space="preserve">Field technician; Reliability engineer; Site admin</t>
  </si>
  <si>
    <t xml:space="preserve">Users</t>
  </si>
  <si>
    <t xml:space="preserve">Roles are described as users. Which role buys is not documented.</t>
  </si>
  <si>
    <t xml:space="preserve">D04</t>
  </si>
  <si>
    <t xml:space="preserve">Non-goal: multi-tenant SaaS, user accounts, per-user RBAC</t>
  </si>
  <si>
    <t xml:space="preserve">Non-goal</t>
  </si>
  <si>
    <t xml:space="preserve">Non-goals</t>
  </si>
  <si>
    <t xml:space="preserve">Constrains any hosted or per-user pricing. See Open Items OI-C1.</t>
  </si>
  <si>
    <t xml:space="preserve">D05</t>
  </si>
  <si>
    <t xml:space="preserve">Non-goal: untrusted networks without EDGE_TOKEN + firewall</t>
  </si>
  <si>
    <t xml:space="preserve">D06</t>
  </si>
  <si>
    <t xml:space="preserve">Shipped console tabs</t>
  </si>
  <si>
    <t xml:space="preserve">tabs</t>
  </si>
  <si>
    <t xml:space="preserve">Features (shipped)</t>
  </si>
  <si>
    <t xml:space="preserve">Overview, Memory, Search, Sync, Metrics, Activity, Cloud, Policy.</t>
  </si>
  <si>
    <t xml:space="preserve">D07</t>
  </si>
  <si>
    <t xml:space="preserve">Auth / role separation for policy + cloud delete (S9)</t>
  </si>
  <si>
    <t xml:space="preserve">status</t>
  </si>
  <si>
    <t xml:space="preserve">Security requirements S9</t>
  </si>
  <si>
    <t xml:space="preserve">Blocks any multi-user or multi-site commercial deployment.</t>
  </si>
  <si>
    <t xml:space="preserve">D08</t>
  </si>
  <si>
    <t xml:space="preserve">Snapshot provenance spoofing (S10)</t>
  </si>
  <si>
    <t xml:space="preserve">Open (accepted)</t>
  </si>
  <si>
    <t xml:space="preserve">Security requirements S10</t>
  </si>
  <si>
    <t xml:space="preserve">D09</t>
  </si>
  <si>
    <t xml:space="preserve">Autonomous sync when link returns (R7)</t>
  </si>
  <si>
    <t xml:space="preserve">Opt-in, default off</t>
  </si>
  <si>
    <t xml:space="preserve">Resilience R7</t>
  </si>
  <si>
    <t xml:space="preserve">Marked a product decision.</t>
  </si>
  <si>
    <t xml:space="preserve">D10</t>
  </si>
  <si>
    <t xml:space="preserve">Product success metric: offline hybrid search p95</t>
  </si>
  <si>
    <t xml:space="preserve">&lt; 10</t>
  </si>
  <si>
    <t xml:space="preserve">ms</t>
  </si>
  <si>
    <t xml:space="preserve">Success metrics</t>
  </si>
  <si>
    <t xml:space="preserve">Product KPI, not a GTM KPI.</t>
  </si>
  <si>
    <t xml:space="preserve">D11</t>
  </si>
  <si>
    <t xml:space="preserve">Product success metric: restricted points in cloud</t>
  </si>
  <si>
    <t xml:space="preserve">points</t>
  </si>
  <si>
    <t xml:space="preserve">Product KPI.</t>
  </si>
  <si>
    <t xml:space="preserve">D12</t>
  </si>
  <si>
    <t xml:space="preserve">Repository licence</t>
  </si>
  <si>
    <t xml:space="preserve">None declared</t>
  </si>
  <si>
    <t xml:space="preserve">docs/COMPETITIVE-LANDSCAPE.md</t>
  </si>
  <si>
    <t xml:space="preserve">1 (item 5); CSV row E00</t>
  </si>
  <si>
    <t xml:space="preserve">No LICENSE file. Blocks commercial distribution.</t>
  </si>
  <si>
    <t xml:space="preserve">D13</t>
  </si>
  <si>
    <t xml:space="preserve">Vector engine dependency: Qdrant Edge</t>
  </si>
  <si>
    <t xml:space="preserve">Beta; no licence terms found</t>
  </si>
  <si>
    <t xml:space="preserve">1 (item 5); 9 (#3)</t>
  </si>
  <si>
    <t xml:space="preserve">Documented (primary page)</t>
  </si>
  <si>
    <t xml:space="preserve">Redistribution rights unverified.</t>
  </si>
  <si>
    <t xml:space="preserve">B01</t>
  </si>
  <si>
    <t xml:space="preserve">Benchmark: Turso Free plan</t>
  </si>
  <si>
    <t xml:space="preserve">5 Pricing</t>
  </si>
  <si>
    <t xml:space="preserve">Documented (primary page, 2026-09-29)</t>
  </si>
  <si>
    <t xml:space="preserve">5 GB, 500M reads, 10M writes, 3 GB syncs.</t>
  </si>
  <si>
    <t xml:space="preserve">B02</t>
  </si>
  <si>
    <t xml:space="preserve">Benchmark: Turso Developer plan</t>
  </si>
  <si>
    <t xml:space="preserve">A search snippet said $5.99; the pricing page says $4.99.</t>
  </si>
  <si>
    <t xml:space="preserve">B03</t>
  </si>
  <si>
    <t xml:space="preserve">Benchmark: Turso Scaler plan</t>
  </si>
  <si>
    <t xml:space="preserve">B04</t>
  </si>
  <si>
    <t xml:space="preserve">Benchmark: Turso Pro plan</t>
  </si>
  <si>
    <t xml:space="preserve">Enterprise: custom.</t>
  </si>
  <si>
    <t xml:space="preserve">B05</t>
  </si>
  <si>
    <t xml:space="preserve">Benchmark: Qdrant Cloud free tier</t>
  </si>
  <si>
    <t xml:space="preserve">spec</t>
  </si>
  <si>
    <t xml:space="preserve">Standard = usage-based; Premium = minimum spend; no prices listed.</t>
  </si>
  <si>
    <t xml:space="preserve">B06</t>
  </si>
  <si>
    <t xml:space="preserve">Benchmark: ObjectBox Sync price</t>
  </si>
  <si>
    <t xml:space="preserve">Core is Apache-2.0; Sync is a paid subscription.</t>
  </si>
  <si>
    <t xml:space="preserve">B07</t>
  </si>
  <si>
    <t xml:space="preserve">Benchmark: Actian VectorAI DB</t>
  </si>
  <si>
    <t xml:space="preserve">Free Community Edition + 30-day trial; commercial price not published</t>
  </si>
  <si>
    <t xml:space="preserve">Vendor / press coverage</t>
  </si>
  <si>
    <t xml:space="preserve">Medium confidence.</t>
  </si>
  <si>
    <t xml:space="preserve">B08</t>
  </si>
  <si>
    <t xml:space="preserve">Market pricing pattern</t>
  </si>
  <si>
    <t xml:space="preserve">Free or open core; money charged for sync, hosting or enterprise features</t>
  </si>
  <si>
    <t xml:space="preserve">5 Pricing (last paragraph)</t>
  </si>
  <si>
    <t xml:space="preserve">Documented (landscape conclusion)</t>
  </si>
  <si>
    <t xml:space="preserve">Metrics seen: rows + synced GB, node-hours, per licensed device.</t>
  </si>
  <si>
    <t xml:space="preserve">B09</t>
  </si>
  <si>
    <t xml:space="preserve">Candidate pricing metrics (undecided)</t>
  </si>
  <si>
    <t xml:space="preserve">Per device; per synced GB; per fleet</t>
  </si>
  <si>
    <t xml:space="preserve">8 Pricing</t>
  </si>
  <si>
    <t xml:space="preserve">Options only - no decision</t>
  </si>
  <si>
    <t xml:space="preserve">The landscape says choosing needs unit economics and buyer input not in the repo.</t>
  </si>
  <si>
    <t xml:space="preserve">T01</t>
  </si>
  <si>
    <t xml:space="preserve">Market size (TAM / SAM / SOM)</t>
  </si>
  <si>
    <t xml:space="preserve">INR/year (TAM)</t>
  </si>
  <si>
    <t xml:space="preserve">K14-K16</t>
  </si>
  <si>
    <t xml:space="preserve">TAM = ASI factories x blended ACV. SAM (K15) and SOM (K16) below.</t>
  </si>
  <si>
    <t xml:space="preserve">T02</t>
  </si>
  <si>
    <t xml:space="preserve">Customer acquisition cost (CAC)</t>
  </si>
  <si>
    <t xml:space="preserve">INR (ceiling)</t>
  </si>
  <si>
    <t xml:space="preserve">K09</t>
  </si>
  <si>
    <t xml:space="preserve">Maximum CAC for a 12-month payback. No spend has been measured yet.</t>
  </si>
  <si>
    <t xml:space="preserve">T03</t>
  </si>
  <si>
    <t xml:space="preserve">Sales cycle length</t>
  </si>
  <si>
    <t xml:space="preserve">30 / 60 / 90 (Starter / Pro / Enterprise)</t>
  </si>
  <si>
    <t xml:space="preserve">days</t>
  </si>
  <si>
    <t xml:space="preserve">Includes a 30-day pilot for Pro and Enterprise.</t>
  </si>
  <si>
    <t xml:space="preserve">T04</t>
  </si>
  <si>
    <t xml:space="preserve">Funnel conversion rates</t>
  </si>
  <si>
    <t xml:space="preserve">E16-E18</t>
  </si>
  <si>
    <t xml:space="preserve">T05</t>
  </si>
  <si>
    <t xml:space="preserve">Gross margin / cost to serve</t>
  </si>
  <si>
    <t xml:space="preserve">this sheet + docs/EDGE-MEM PRICING MODEL.xlsx</t>
  </si>
  <si>
    <t xml:space="preserve">K01-K07</t>
  </si>
  <si>
    <t xml:space="preserve">Revenue-weighted by tier mix. Edge compute and embeddings are on-device (INR 0); only cloud LLM and Qdrant Cloud cost money.</t>
  </si>
  <si>
    <t xml:space="preserve">T06</t>
  </si>
  <si>
    <t xml:space="preserve">Geographic strategy</t>
  </si>
  <si>
    <t xml:space="preserve">India first (INR pricing), USD markets after the Phase-2 trigger</t>
  </si>
  <si>
    <t xml:space="preserve">Documented (derived)</t>
  </si>
  <si>
    <t xml:space="preserve">Tamil Nadu, Gujarat and Maharashtra hold the most factories (ASI 2023-24).</t>
  </si>
  <si>
    <t xml:space="preserve">T07</t>
  </si>
  <si>
    <t xml:space="preserve">Willingness to pay by segment</t>
  </si>
  <si>
    <t xml:space="preserve">INR 1,499 / 5,999 / 14,999 per fleet per month (annual plan)</t>
  </si>
  <si>
    <t xml:space="preserve">USD</t>
  </si>
  <si>
    <t xml:space="preserve">D35</t>
  </si>
  <si>
    <t xml:space="preserve">Documented - team price points, not buyer-validated</t>
  </si>
  <si>
    <t xml:space="preserve">Still needs the buyer interviews listed in GTM Strategy row 28.</t>
  </si>
  <si>
    <t xml:space="preserve">C. Unit economics, funnel and market inputs (pricing inputs from docs/EDGE-MEM PRICING MODEL.xlsx; Estimates are flagged and editable)</t>
  </si>
  <si>
    <t xml:space="preserve">E01</t>
  </si>
  <si>
    <t xml:space="preserve">Phase-2 trigger: paying fleets</t>
  </si>
  <si>
    <t xml:space="preserve">fleets</t>
  </si>
  <si>
    <t xml:space="preserve">D74 Trigger</t>
  </si>
  <si>
    <t xml:space="preserve">Target that sets the acquisition rate (M02).</t>
  </si>
  <si>
    <t xml:space="preserve">E02</t>
  </si>
  <si>
    <t xml:space="preserve">Months to reach the Phase-2 trigger</t>
  </si>
  <si>
    <t xml:space="preserve">months</t>
  </si>
  <si>
    <t xml:space="preserve">Estimate - confirm. One year from launch.</t>
  </si>
  <si>
    <t xml:space="preserve">E03</t>
  </si>
  <si>
    <t xml:space="preserve">USD to INR rate</t>
  </si>
  <si>
    <t xml:space="preserve">INR per USD</t>
  </si>
  <si>
    <t xml:space="preserve">D8</t>
  </si>
  <si>
    <t xml:space="preserve">Converts USD LLM / Qdrant costs to INR.</t>
  </si>
  <si>
    <t xml:space="preserve">E04</t>
  </si>
  <si>
    <t xml:space="preserve">Annual billing discount</t>
  </si>
  <si>
    <t xml:space="preserve">D6</t>
  </si>
  <si>
    <t xml:space="preserve">Monthly plan price = annual-plan price / (1 - 17%).</t>
  </si>
  <si>
    <t xml:space="preserve">E05</t>
  </si>
  <si>
    <t xml:space="preserve">LLM cost per distill_sop call</t>
  </si>
  <si>
    <t xml:space="preserve">USD/call</t>
  </si>
  <si>
    <t xml:space="preserve">gpt-4o-mini, ~1,000 in + 180 out tokens.</t>
  </si>
  <si>
    <t xml:space="preserve">E06</t>
  </si>
  <si>
    <t xml:space="preserve">LLM cost per auto_tag call</t>
  </si>
  <si>
    <t xml:space="preserve">gpt-4o-mini, ~650 in + 60 out tokens.</t>
  </si>
  <si>
    <t xml:space="preserve">E07</t>
  </si>
  <si>
    <t xml:space="preserve">Starter: distill_sop calls / month</t>
  </si>
  <si>
    <t xml:space="preserve">calls</t>
  </si>
  <si>
    <t xml:space="preserve">D21</t>
  </si>
  <si>
    <t xml:space="preserve">E08</t>
  </si>
  <si>
    <t xml:space="preserve">Starter: auto_tag calls / month</t>
  </si>
  <si>
    <t xml:space="preserve">D23</t>
  </si>
  <si>
    <t xml:space="preserve">E09</t>
  </si>
  <si>
    <t xml:space="preserve">Starter: Qdrant Cloud allocation</t>
  </si>
  <si>
    <t xml:space="preserve">D25</t>
  </si>
  <si>
    <t xml:space="preserve">Qdrant Cloud free tier.</t>
  </si>
  <si>
    <t xml:space="preserve">E10</t>
  </si>
  <si>
    <t xml:space="preserve">Pro: distill_sop calls / month</t>
  </si>
  <si>
    <t xml:space="preserve">E21</t>
  </si>
  <si>
    <t xml:space="preserve">E11</t>
  </si>
  <si>
    <t xml:space="preserve">Pro: auto_tag calls / month</t>
  </si>
  <si>
    <t xml:space="preserve">E23</t>
  </si>
  <si>
    <t xml:space="preserve">E12</t>
  </si>
  <si>
    <t xml:space="preserve">Pro: Qdrant Cloud allocation</t>
  </si>
  <si>
    <t xml:space="preserve">E25</t>
  </si>
  <si>
    <t xml:space="preserve">Standard 1 vCPU / 2 GB.</t>
  </si>
  <si>
    <t xml:space="preserve">E13</t>
  </si>
  <si>
    <t xml:space="preserve">Enterprise: distill_sop calls / month</t>
  </si>
  <si>
    <t xml:space="preserve">F21</t>
  </si>
  <si>
    <t xml:space="preserve">E14</t>
  </si>
  <si>
    <t xml:space="preserve">Enterprise: auto_tag calls / month</t>
  </si>
  <si>
    <t xml:space="preserve">F23</t>
  </si>
  <si>
    <t xml:space="preserve">E15</t>
  </si>
  <si>
    <t xml:space="preserve">Enterprise: Qdrant Cloud allocation</t>
  </si>
  <si>
    <t xml:space="preserve">F25</t>
  </si>
  <si>
    <t xml:space="preserve">Standard 2 vCPU / 4 GB.</t>
  </si>
  <si>
    <t xml:space="preserve">E16</t>
  </si>
  <si>
    <t xml:space="preserve">Funnel: lead to demo</t>
  </si>
  <si>
    <t xml:space="preserve">Estimate - B2B industrial software benchmark range; confirm with pilots.</t>
  </si>
  <si>
    <t xml:space="preserve">E17</t>
  </si>
  <si>
    <t xml:space="preserve">Funnel: demo to pilot</t>
  </si>
  <si>
    <t xml:space="preserve">Estimate - confirm with pilots.</t>
  </si>
  <si>
    <t xml:space="preserve">E18</t>
  </si>
  <si>
    <t xml:space="preserve">Funnel: pilot to paid</t>
  </si>
  <si>
    <t xml:space="preserve">E19</t>
  </si>
  <si>
    <t xml:space="preserve">Registered factories in India (ASI 2023-24)</t>
  </si>
  <si>
    <t xml:space="preserve">factories</t>
  </si>
  <si>
    <t xml:space="preserve">MoSPI Annual Survey of Industries 2023-24 (PIB release)</t>
  </si>
  <si>
    <t xml:space="preserve">https://www.pib.gov.in/PressReleasePage.aspx?PRID=2161192</t>
  </si>
  <si>
    <t xml:space="preserve">External source, not in docs/. Factories Act units with 10+ workers (power) or 20+ (no power).</t>
  </si>
  <si>
    <t xml:space="preserve">E20</t>
  </si>
  <si>
    <t xml:space="preserve">SAM share of factories (connectivity-constrained, digitised)</t>
  </si>
  <si>
    <t xml:space="preserve">Estimate - share of factories with poor site connectivity and a maintenance team; confirm.</t>
  </si>
  <si>
    <t xml:space="preserve">K01</t>
  </si>
  <si>
    <t xml:space="preserve">Starter COGS per fleet</t>
  </si>
  <si>
    <t xml:space="preserve">INR/month</t>
  </si>
  <si>
    <t xml:space="preserve">E03-E09</t>
  </si>
  <si>
    <t xml:space="preserve">LLM calls + Qdrant allocation, converted to INR.</t>
  </si>
  <si>
    <t xml:space="preserve">K02</t>
  </si>
  <si>
    <t xml:space="preserve">Pro COGS per fleet</t>
  </si>
  <si>
    <t xml:space="preserve">E03-E06, E10-E12</t>
  </si>
  <si>
    <t xml:space="preserve">K03</t>
  </si>
  <si>
    <t xml:space="preserve">Enterprise COGS per fleet</t>
  </si>
  <si>
    <t xml:space="preserve">E03-E06, E13-E15</t>
  </si>
  <si>
    <t xml:space="preserve">K04</t>
  </si>
  <si>
    <t xml:space="preserve">Starter gross margin</t>
  </si>
  <si>
    <t xml:space="preserve">K01, Pricing F12</t>
  </si>
  <si>
    <t xml:space="preserve">K05</t>
  </si>
  <si>
    <t xml:space="preserve">Pro gross margin</t>
  </si>
  <si>
    <t xml:space="preserve">K02, Pricing F13</t>
  </si>
  <si>
    <t xml:space="preserve">K06</t>
  </si>
  <si>
    <t xml:space="preserve">Enterprise gross margin</t>
  </si>
  <si>
    <t xml:space="preserve">K03, Pricing F14</t>
  </si>
  <si>
    <t xml:space="preserve">K07</t>
  </si>
  <si>
    <t xml:space="preserve">Blended gross margin (revenue-weighted by tier mix)</t>
  </si>
  <si>
    <t xml:space="preserve">K04-K06, M06-M08</t>
  </si>
  <si>
    <t xml:space="preserve">K08</t>
  </si>
  <si>
    <t xml:space="preserve">Blended annual contract value per fleet</t>
  </si>
  <si>
    <t xml:space="preserve">INR/year</t>
  </si>
  <si>
    <t xml:space="preserve">M06-M08, Pricing F12:F14</t>
  </si>
  <si>
    <t xml:space="preserve">Max CAC for a 12-month payback</t>
  </si>
  <si>
    <t xml:space="preserve">K07, K08</t>
  </si>
  <si>
    <t xml:space="preserve">Ceiling, not a measured CAC: 12 months of gross profit per fleet.</t>
  </si>
  <si>
    <t xml:space="preserve">K10</t>
  </si>
  <si>
    <t xml:space="preserve">Customer lifetime value (gross profit / churn)</t>
  </si>
  <si>
    <t xml:space="preserve">K07, K08, M03</t>
  </si>
  <si>
    <t xml:space="preserve">K11</t>
  </si>
  <si>
    <t xml:space="preserve">Pilots needed per month</t>
  </si>
  <si>
    <t xml:space="preserve">pilots/month</t>
  </si>
  <si>
    <t xml:space="preserve">M02, E18</t>
  </si>
  <si>
    <t xml:space="preserve">K12</t>
  </si>
  <si>
    <t xml:space="preserve">Demos needed per month</t>
  </si>
  <si>
    <t xml:space="preserve">demos/month</t>
  </si>
  <si>
    <t xml:space="preserve">K11, E17</t>
  </si>
  <si>
    <t xml:space="preserve">K13</t>
  </si>
  <si>
    <t xml:space="preserve">Qualified leads needed per month</t>
  </si>
  <si>
    <t xml:space="preserve">leads/month</t>
  </si>
  <si>
    <t xml:space="preserve">K12, E16</t>
  </si>
  <si>
    <t xml:space="preserve">K14</t>
  </si>
  <si>
    <t xml:space="preserve">TAM: every ASI factory on the blended plan</t>
  </si>
  <si>
    <t xml:space="preserve">E19, K08</t>
  </si>
  <si>
    <t xml:space="preserve">K15</t>
  </si>
  <si>
    <t xml:space="preserve">SAM</t>
  </si>
  <si>
    <t xml:space="preserve">K14, E20</t>
  </si>
  <si>
    <t xml:space="preserve">K16</t>
  </si>
  <si>
    <t xml:space="preserve">SOM: month-24 run-rate from the Revenue Model</t>
  </si>
  <si>
    <t xml:space="preserve">B45</t>
  </si>
  <si>
    <t xml:space="preserve">Open Items</t>
  </si>
  <si>
    <t xml:space="preserve">Everything the docs do not settle, and every place where documents pull in different directions. Do not fill these with guesses.</t>
  </si>
  <si>
    <t xml:space="preserve">Affects</t>
  </si>
  <si>
    <t xml:space="preserve">Needed from</t>
  </si>
  <si>
    <t xml:space="preserve">Resolution (2026-09-30)</t>
  </si>
  <si>
    <t xml:space="preserve">OI-C1</t>
  </si>
  <si>
    <t xml:space="preserve">Contradiction</t>
  </si>
  <si>
    <t xml:space="preserve">Non-goal 'multi-tenant SaaS, user accounts, per-user RBAC' vs a commercial pricing model</t>
  </si>
  <si>
    <t xml:space="preserve">Per-user, per-seat and hosted pricing all need what the PRD excludes. S9 (role separation) is also open while PRD Users defines three roles.</t>
  </si>
  <si>
    <t xml:space="preserve">Pricing; Revenue Model</t>
  </si>
  <si>
    <t xml:space="preserve">docs/PRD.md - Non-goals, S9, Users</t>
  </si>
  <si>
    <t xml:space="preserve">Founder decision</t>
  </si>
  <si>
    <t xml:space="preserve">Still open. The pricing workbook bills per fleet (not per user) but pays for Qdrant Cloud, a hosted part.</t>
  </si>
  <si>
    <t xml:space="preserve">OI-C2</t>
  </si>
  <si>
    <t xml:space="preserve">Priced offering vs no licence</t>
  </si>
  <si>
    <t xml:space="preserve">The landscape says the repo has no licence and Qdrant Edge terms are unread; a price cannot be attached to something that cannot be licensed.</t>
  </si>
  <si>
    <t xml:space="preserve">Pricing; GTM</t>
  </si>
  <si>
    <t xml:space="preserve">docs/COMPETITIVE-LANDSCAPE.md - s.1, s.9</t>
  </si>
  <si>
    <t xml:space="preserve">Founder / legal</t>
  </si>
  <si>
    <t xml:space="preserve">Still open. Prices now exist; a licence is still needed before selling.</t>
  </si>
  <si>
    <t xml:space="preserve">OI-C3</t>
  </si>
  <si>
    <t xml:space="preserve">Tension</t>
  </si>
  <si>
    <t xml:space="preserve">PRD 'Features (shipped)' vs landscape 'hackathon-stage' maturity</t>
  </si>
  <si>
    <t xml:space="preserve">PRD lists features as shipped; the landscape rates maturity low (no auth, no licence, single-threaded engine, beta engine).</t>
  </si>
  <si>
    <t xml:space="preserve">GTM (positioning claims)</t>
  </si>
  <si>
    <t xml:space="preserve">docs/PRD.md; docs/COMPETITIVE-LANDSCAPE.md</t>
  </si>
  <si>
    <t xml:space="preserve">Still open.</t>
  </si>
  <si>
    <t xml:space="preserve">OI-C4</t>
  </si>
  <si>
    <t xml:space="preserve">Data quality</t>
  </si>
  <si>
    <t xml:space="preserve">Competitive landscape was written in the same session, not by the team</t>
  </si>
  <si>
    <t xml:space="preserve">docs/COMPETITIVE-LANDSCAPE.md and its CSV are first-pass research; 6 of 15 rows are Low / Low-Medium confidence.</t>
  </si>
  <si>
    <t xml:space="preserve">Re-verify at source</t>
  </si>
  <si>
    <t xml:space="preserve">OI-M1</t>
  </si>
  <si>
    <t xml:space="preserve">Missing</t>
  </si>
  <si>
    <t xml:space="preserve">Pricing metric, tiers, prices, billing terms, discounts</t>
  </si>
  <si>
    <t xml:space="preserve">Nothing in docs/ decides them; only candidate metrics (per device / synced GB / fleet).</t>
  </si>
  <si>
    <t xml:space="preserve">docs/COMPETITIVE-LANDSCAPE.md - s.8</t>
  </si>
  <si>
    <t xml:space="preserve">Founder + buyer input</t>
  </si>
  <si>
    <t xml:space="preserve">Resolved by docs/EDGE-MEM PRICING MODEL.xlsx: per fleet, 3 tiers, annual billing, 17% discount.</t>
  </si>
  <si>
    <t xml:space="preserve">OI-M2</t>
  </si>
  <si>
    <t xml:space="preserve">Customer counts, acquisition rate, churn, expansion</t>
  </si>
  <si>
    <t xml:space="preserve">No customer numbers or funnel data exist.</t>
  </si>
  <si>
    <t xml:space="preserve">Founder / pilots</t>
  </si>
  <si>
    <t xml:space="preserve">Estimated: start at 0, 50 fleets by M12, 2%/month churn, 0% unit growth. Confirm with pilots.</t>
  </si>
  <si>
    <t xml:space="preserve">OI-M3</t>
  </si>
  <si>
    <t xml:space="preserve">Acquisition, sales and distribution channels; sales motion</t>
  </si>
  <si>
    <t xml:space="preserve">No GTM plan in docs/.</t>
  </si>
  <si>
    <t xml:space="preserve">Proposed plan (Estimate) on GTM Strategy.</t>
  </si>
  <si>
    <t xml:space="preserve">OI-M4</t>
  </si>
  <si>
    <t xml:space="preserve">Buyer persona and decision maker</t>
  </si>
  <si>
    <t xml:space="preserve">PRD names users, not buyers.</t>
  </si>
  <si>
    <t xml:space="preserve">ICP; GTM</t>
  </si>
  <si>
    <t xml:space="preserve">Estimated: site admin / plant IT-OT head buys; reliability engineer champions.</t>
  </si>
  <si>
    <t xml:space="preserve">OI-M5</t>
  </si>
  <si>
    <t xml:space="preserve">Market size (TAM/SAM/SOM), geography</t>
  </si>
  <si>
    <t xml:space="preserve">Executive Summary; GTM</t>
  </si>
  <si>
    <t xml:space="preserve">Founder / research</t>
  </si>
  <si>
    <t xml:space="preserve">Calculated: TAM from ASI 2023-24 factory count x blended ACV; SAM at 10% (Estimate); India first.</t>
  </si>
  <si>
    <t xml:space="preserve">OI-M6</t>
  </si>
  <si>
    <t xml:space="preserve">CAC, sales cycle, conversion rates, gross margin</t>
  </si>
  <si>
    <t xml:space="preserve">Not documented; the model does not use them.</t>
  </si>
  <si>
    <t xml:space="preserve">Calculated: gross margin and CAC ceiling; funnel and sales cycle are Estimates.</t>
  </si>
  <si>
    <t xml:space="preserve">OI-M7</t>
  </si>
  <si>
    <t xml:space="preserve">Delivery model: self-hosted vs hosted</t>
  </si>
  <si>
    <t xml:space="preserve">README shows self-hosted; hosted conflicts with a PRD non-goal.</t>
  </si>
  <si>
    <t xml:space="preserve">Pricing; cost to serve</t>
  </si>
  <si>
    <t xml:space="preserve">README (not docs/); docs/PRD.md</t>
  </si>
  <si>
    <t xml:space="preserve">Resolved: "Both" (self-hosted edge + vendor-paid cloud LLM and Qdrant Cloud). Raises OI-C1.</t>
  </si>
  <si>
    <t xml:space="preserve">OI-M8</t>
  </si>
  <si>
    <t xml:space="preserve">Segment attractiveness</t>
  </si>
  <si>
    <t xml:space="preserve">No document scores or sizes segments.</t>
  </si>
  <si>
    <t xml:space="preserve">ICP</t>
  </si>
  <si>
    <t xml:space="preserve">Interviews / research</t>
  </si>
  <si>
    <t xml:space="preserve">Estimated on ICP &amp; Segmentation (column J).</t>
  </si>
  <si>
    <t xml:space="preserve">OI-A1</t>
  </si>
  <si>
    <t xml:space="preserve">Assumption</t>
  </si>
  <si>
    <t xml:space="preserve">Reporting currency = INR (was USD)</t>
  </si>
  <si>
    <t xml:space="preserve">Chosen because all sourced benchmarks are USD; not documented.</t>
  </si>
  <si>
    <t xml:space="preserve">Assumptions &amp; Sources A01</t>
  </si>
  <si>
    <t xml:space="preserve">Confirm</t>
  </si>
  <si>
    <t xml:space="preserve">Replaced: currency is INR per the team pricing workbook.</t>
  </si>
  <si>
    <t xml:space="preserve">OI-A2</t>
  </si>
  <si>
    <t xml:space="preserve">Segments S2 (robots/kiosks) taken from the hackathon statement</t>
  </si>
  <si>
    <t xml:space="preserve">It lives in the chat, not in docs/.</t>
  </si>
  <si>
    <t xml:space="preserve">Add to docs/ or drop</t>
  </si>
  <si>
    <t xml:space="preserve">OI-V1</t>
  </si>
  <si>
    <t xml:space="preserve">Verification</t>
  </si>
  <si>
    <t xml:space="preserve">Engine and UI changes on 2026-09-29 were checked by unit tests only.</t>
  </si>
  <si>
    <t xml:space="preserve">Executive Summary (product KPIs)</t>
  </si>
  <si>
    <t xml:space="preserve">Engineering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</si>
</sst>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\₹#,##0;&quot;(₹&quot;#,##0\);\-"/>
    <numFmt numFmtId="166" formatCode="\₹#,##0;&quot;(₹&quot;#,##0\);\-"/>
    <numFmt numFmtId="167" formatCode="\$#,##0.00;&quot;($&quot;#,##0.00\);\-"/>
    <numFmt numFmtId="168" formatCode="#,##0.0"/>
    <numFmt numFmtId="169" formatCode="0.0%"/>
    <numFmt numFmtId="170" formatCode="\₹#,##0.00;&quot;(₹&quot;#,##0.00\);\-"/>
    <numFmt numFmtId="171" formatCode="#,##0.0;\(#,##0.0\);\-"/>
    <numFmt numFmtId="172" formatCode="0.0%;\(0.0%\);\-"/>
    <numFmt numFmtId="173" formatCode="#,##0"/>
    <numFmt numFmtId="174" formatCode="#,##0.00"/>
    <numFmt numFmtId="175" formatCode="0.000000"/>
    <numFmt numFmtId="176" formatCode="\₹#,##0.00;&quot;(₹&quot;#,##0.00\);\-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i val="true"/>
      <sz val="10"/>
      <color rgb="FFCBD5E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1E293B"/>
      <name val="Arial"/>
      <family val="0"/>
      <charset val="1"/>
    </font>
    <font>
      <sz val="10"/>
      <color rgb="FF1E293B"/>
      <name val="Arial"/>
      <family val="0"/>
      <charset val="1"/>
    </font>
    <font>
      <b val="true"/>
      <sz val="11"/>
      <color rgb="FF0F172A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64748B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10"/>
      <color rgb="FF64748B"/>
      <name val="Arial"/>
      <family val="0"/>
      <charset val="1"/>
    </font>
    <font>
      <b val="true"/>
      <i val="true"/>
      <sz val="10"/>
      <color rgb="FF64748B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0F172A"/>
        <bgColor rgb="FF1F2937"/>
      </patternFill>
    </fill>
    <fill>
      <patternFill patternType="solid">
        <fgColor rgb="FF1E293B"/>
        <bgColor rgb="FF1F2937"/>
      </patternFill>
    </fill>
    <fill>
      <patternFill patternType="solid">
        <fgColor rgb="FF10B981"/>
        <bgColor rgb="FF33CCCC"/>
      </patternFill>
    </fill>
    <fill>
      <patternFill patternType="solid">
        <fgColor rgb="FFF8FAFC"/>
        <bgColor rgb="FFFFFFFF"/>
      </patternFill>
    </fill>
    <fill>
      <patternFill patternType="solid">
        <fgColor rgb="FFF1F5F9"/>
        <bgColor rgb="FFF3F4F6"/>
      </patternFill>
    </fill>
    <fill>
      <patternFill patternType="solid">
        <fgColor rgb="FF1F2937"/>
        <bgColor rgb="FF1E293B"/>
      </patternFill>
    </fill>
    <fill>
      <patternFill patternType="solid">
        <fgColor rgb="FFE5E7EB"/>
        <bgColor rgb="FFE2E8F0"/>
      </patternFill>
    </fill>
    <fill>
      <patternFill patternType="solid">
        <fgColor rgb="FFFFFF00"/>
        <bgColor rgb="FFFDE68A"/>
      </patternFill>
    </fill>
    <fill>
      <patternFill patternType="solid">
        <fgColor rgb="FFECFDF5"/>
        <bgColor rgb="FFF1F5F9"/>
      </patternFill>
    </fill>
  </fills>
  <borders count="6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10B981"/>
      </bottom>
      <diagonal/>
    </border>
    <border diagonalUp="false" diagonalDown="false">
      <left/>
      <right/>
      <top/>
      <bottom style="thin">
        <color rgb="FFE2E8F0"/>
      </bottom>
      <diagonal/>
    </border>
    <border diagonalUp="false" diagonalDown="false">
      <left style="thick">
        <color rgb="FF10B981"/>
      </left>
      <right/>
      <top/>
      <bottom style="thin">
        <color rgb="FFE2E8F0"/>
      </bottom>
      <diagonal/>
    </border>
    <border diagonalUp="false" diagonalDown="false"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 diagonalUp="false" diagonalDown="false">
      <left/>
      <right/>
      <top style="thin">
        <color rgb="FF94A3B8"/>
      </top>
      <bottom style="thin">
        <color rgb="FFE2E8F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7" fillId="5" borderId="2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8" fillId="5" borderId="2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9" fillId="6" borderId="3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0" fillId="6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2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7" fillId="5" borderId="2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7" fillId="0" borderId="2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5" fontId="7" fillId="5" borderId="2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6" fillId="7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9" borderId="2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6" fontId="11" fillId="9" borderId="2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6" fontId="8" fillId="0" borderId="2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6" fontId="8" fillId="5" borderId="2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7" fontId="8" fillId="0" borderId="2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7" fontId="8" fillId="5" borderId="2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2" fillId="0" borderId="2" xfId="0" applyFont="true" applyBorder="true" applyAlignment="true" applyProtection="false">
      <alignment horizontal="general" vertical="top" textRotation="0" wrapText="false" indent="1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4" fillId="0" borderId="2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4" fillId="5" borderId="2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8" fontId="14" fillId="0" borderId="2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8" fontId="14" fillId="5" borderId="2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9" fontId="14" fillId="0" borderId="2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9" fontId="14" fillId="5" borderId="2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70" fontId="14" fillId="0" borderId="2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70" fontId="14" fillId="5" borderId="2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1" shrinkToFit="false"/>
      <protection locked="true" hidden="false"/>
    </xf>
    <xf numFmtId="164" fontId="15" fillId="0" borderId="2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71" fontId="8" fillId="0" borderId="2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5" fillId="5" borderId="2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71" fontId="8" fillId="5" borderId="2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7" fillId="10" borderId="5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6" fillId="10" borderId="5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71" fontId="7" fillId="10" borderId="5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5" fontId="8" fillId="5" borderId="2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5" fontId="8" fillId="0" borderId="2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5" fontId="7" fillId="10" borderId="5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5" fontId="7" fillId="0" borderId="2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5" fontId="7" fillId="5" borderId="2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71" fontId="7" fillId="0" borderId="2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72" fontId="7" fillId="5" borderId="2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72" fontId="7" fillId="0" borderId="2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70" fontId="7" fillId="5" borderId="2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1" fillId="9" borderId="2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9" fontId="11" fillId="9" borderId="2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9" fontId="8" fillId="0" borderId="2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73" fontId="11" fillId="9" borderId="2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74" fontId="11" fillId="9" borderId="2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75" fontId="11" fillId="9" borderId="2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76" fontId="8" fillId="5" borderId="2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76" fontId="8" fillId="0" borderId="2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9" fontId="8" fillId="5" borderId="2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8" fontId="8" fillId="5" borderId="2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8" fontId="8" fillId="0" borderId="2" xfId="0" applyFont="true" applyBorder="true" applyAlignment="true" applyProtection="false">
      <alignment horizontal="general" vertical="top" textRotation="0" wrapText="tru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9">
    <dxf>
      <fill>
        <patternFill>
          <bgColor rgb="FFFDE68A"/>
        </patternFill>
      </fill>
    </dxf>
    <dxf>
      <fill>
        <patternFill>
          <bgColor rgb="FFFEE2E2"/>
        </patternFill>
      </fill>
    </dxf>
    <dxf>
      <fill>
        <patternFill>
          <bgColor rgb="FFD1FAE5"/>
        </patternFill>
      </fill>
    </dxf>
    <dxf>
      <fill>
        <patternFill patternType="solid">
          <fgColor rgb="FF0F172A"/>
          <bgColor rgb="FF000000"/>
        </patternFill>
      </fill>
    </dxf>
    <dxf>
      <fill>
        <patternFill patternType="solid">
          <fgColor rgb="FFF8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E293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1FAE5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F3F4F6"/>
          <bgColor rgb="FF000000"/>
        </patternFill>
      </fill>
    </dxf>
    <dxf>
      <fill>
        <patternFill patternType="solid">
          <fgColor rgb="FFFDE68A"/>
          <bgColor rgb="FF000000"/>
        </patternFill>
      </fill>
    </dxf>
    <dxf>
      <fill>
        <patternFill>
          <bgColor rgb="FFF3F4F6"/>
        </patternFill>
      </fill>
    </dxf>
    <dxf>
      <fill>
        <patternFill patternType="solid">
          <fgColor rgb="FFE0F2FE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075985"/>
          <bgColor rgb="FF000000"/>
        </patternFill>
      </fill>
    </dxf>
    <dxf>
      <fill>
        <patternFill patternType="solid">
          <fgColor rgb="FF92400E"/>
          <bgColor rgb="FF000000"/>
        </patternFill>
      </fill>
    </dxf>
    <dxf>
      <font>
        <color rgb="FF92400E"/>
      </font>
      <fill>
        <patternFill>
          <bgColor rgb="FFFEF3C7"/>
        </patternFill>
      </fill>
    </dxf>
    <dxf>
      <font>
        <color rgb="FF075985"/>
      </font>
      <fill>
        <patternFill>
          <bgColor rgb="FFE0F2FE"/>
        </patternFill>
      </fill>
    </dxf>
  </dxfs>
  <colors>
    <indexedColors>
      <rgbColor rgb="FF000000"/>
      <rgbColor rgb="FFFFFFFF"/>
      <rgbColor rgb="FFE11D48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47857"/>
      <rgbColor rgb="FFD1D5DB"/>
      <rgbColor rgb="FF808080"/>
      <rgbColor rgb="FF9999FF"/>
      <rgbColor rgb="FFBE123C"/>
      <rgbColor rgb="FFFEF3C7"/>
      <rgbColor rgb="FFE0F2FE"/>
      <rgbColor rgb="FF660066"/>
      <rgbColor rgb="FFFF8080"/>
      <rgbColor rgb="FF075985"/>
      <rgbColor rgb="FFCBD5E1"/>
      <rgbColor rgb="FF000080"/>
      <rgbColor rgb="FFFF00FF"/>
      <rgbColor rgb="FFF1F5F9"/>
      <rgbColor rgb="FF00FFFF"/>
      <rgbColor rgb="FF800080"/>
      <rgbColor rgb="FF800000"/>
      <rgbColor rgb="FF008080"/>
      <rgbColor rgb="FF0000FF"/>
      <rgbColor rgb="FF00CCFF"/>
      <rgbColor rgb="FFECFDF5"/>
      <rgbColor rgb="FFD1FAE5"/>
      <rgbColor rgb="FFFDE68A"/>
      <rgbColor rgb="FFE2E8F0"/>
      <rgbColor rgb="FFF3F4F6"/>
      <rgbColor rgb="FFE5E7EB"/>
      <rgbColor rgb="FFFEE2E2"/>
      <rgbColor rgb="FF3366FF"/>
      <rgbColor rgb="FF33CCCC"/>
      <rgbColor rgb="FF99CC00"/>
      <rgbColor rgb="FFF8FAFC"/>
      <rgbColor rgb="FFFF9900"/>
      <rgbColor rgb="FFD97706"/>
      <rgbColor rgb="FF64748B"/>
      <rgbColor rgb="FF94A3B8"/>
      <rgbColor rgb="FF1E293B"/>
      <rgbColor rgb="FF10B981"/>
      <rgbColor rgb="FF0F172A"/>
      <rgbColor rgb="FF333300"/>
      <rgbColor rgb="FF92400E"/>
      <rgbColor rgb="FF993366"/>
      <rgbColor rgb="FF47556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172A"/>
    <pageSetUpPr fitToPage="true"/>
  </sheetPr>
  <dimension ref="A1:C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88"/>
    <col collapsed="false" customWidth="true" hidden="false" outlineLevel="0" max="3" min="3" style="1" width="34"/>
  </cols>
  <sheetData>
    <row r="1" customFormat="false" ht="36" hidden="false" customHeight="true" outlineLevel="0" collapsed="false">
      <c r="A1" s="2" t="s">
        <v>0</v>
      </c>
      <c r="B1" s="3"/>
      <c r="C1" s="3"/>
    </row>
    <row r="2" customFormat="false" ht="24.75" hidden="false" customHeight="true" outlineLevel="0" collapsed="false">
      <c r="A2" s="4" t="s">
        <v>1</v>
      </c>
      <c r="B2" s="4"/>
      <c r="C2" s="4"/>
    </row>
    <row r="3" customFormat="false" ht="3.75" hidden="false" customHeight="true" outlineLevel="0" collapsed="false">
      <c r="A3" s="5"/>
      <c r="B3" s="5"/>
      <c r="C3" s="5"/>
    </row>
    <row r="4" customFormat="false" ht="27.75" hidden="false" customHeight="true" outlineLevel="0" collapsed="false">
      <c r="A4" s="6" t="s">
        <v>2</v>
      </c>
      <c r="B4" s="6" t="s">
        <v>3</v>
      </c>
      <c r="C4" s="6" t="s">
        <v>4</v>
      </c>
    </row>
    <row r="5" customFormat="false" ht="58.5" hidden="false" customHeight="true" outlineLevel="0" collapsed="false">
      <c r="A5" s="7" t="s">
        <v>5</v>
      </c>
      <c r="B5" s="8" t="s">
        <v>6</v>
      </c>
      <c r="C5" s="8" t="s">
        <v>7</v>
      </c>
    </row>
    <row r="6" customFormat="false" ht="33" hidden="false" customHeight="true" outlineLevel="0" collapsed="false">
      <c r="A6" s="9" t="s">
        <v>8</v>
      </c>
      <c r="B6" s="10" t="s">
        <v>9</v>
      </c>
      <c r="C6" s="10" t="s">
        <v>10</v>
      </c>
    </row>
    <row r="7" customFormat="false" ht="33" hidden="false" customHeight="true" outlineLevel="0" collapsed="false">
      <c r="A7" s="7" t="s">
        <v>11</v>
      </c>
      <c r="B7" s="8" t="s">
        <v>12</v>
      </c>
      <c r="C7" s="8" t="s">
        <v>13</v>
      </c>
    </row>
    <row r="8" customFormat="false" ht="33" hidden="false" customHeight="true" outlineLevel="0" collapsed="false">
      <c r="A8" s="9" t="s">
        <v>14</v>
      </c>
      <c r="B8" s="10" t="s">
        <v>15</v>
      </c>
      <c r="C8" s="10" t="s">
        <v>16</v>
      </c>
    </row>
    <row r="9" customFormat="false" ht="45.75" hidden="false" customHeight="true" outlineLevel="0" collapsed="false">
      <c r="A9" s="7" t="s">
        <v>17</v>
      </c>
      <c r="B9" s="8" t="s">
        <v>18</v>
      </c>
      <c r="C9" s="8" t="s">
        <v>19</v>
      </c>
    </row>
    <row r="10" customFormat="false" ht="20.25" hidden="false" customHeight="true" outlineLevel="0" collapsed="false">
      <c r="A10" s="9" t="s">
        <v>20</v>
      </c>
      <c r="B10" s="10" t="s">
        <v>21</v>
      </c>
      <c r="C10" s="10" t="s">
        <v>22</v>
      </c>
    </row>
    <row r="11" customFormat="false" ht="33" hidden="false" customHeight="true" outlineLevel="0" collapsed="false">
      <c r="A11" s="7" t="s">
        <v>23</v>
      </c>
      <c r="B11" s="8" t="s">
        <v>24</v>
      </c>
      <c r="C11" s="8" t="s">
        <v>25</v>
      </c>
    </row>
    <row r="12" customFormat="false" ht="20.25" hidden="false" customHeight="true" outlineLevel="0" collapsed="false">
      <c r="A12" s="9" t="s">
        <v>26</v>
      </c>
      <c r="B12" s="10" t="str">
        <f aca="false">TEXT('Assumptions &amp; Sources'!$C$8,"0.0")&amp;" new fleets/month; blended gross margin "&amp;TEXT('Assumptions &amp; Sources'!$C$47,"0%")&amp;"; CAC ceiling INR "&amp;TEXT('Assumptions &amp; Sources'!$C$44,"#,##0")&amp;" (12-month payback)."</f>
        <v>4.6 new fleets/month; blended gross margin 72%; CAC ceiling INR 36,161 (12-month payback).</v>
      </c>
      <c r="C12" s="10" t="s">
        <v>27</v>
      </c>
    </row>
    <row r="14" customFormat="false" ht="24" hidden="false" customHeight="true" outlineLevel="0" collapsed="false">
      <c r="A14" s="11" t="s">
        <v>28</v>
      </c>
      <c r="B14" s="12"/>
      <c r="C14" s="12"/>
    </row>
    <row r="15" customFormat="false" ht="27.75" hidden="false" customHeight="true" outlineLevel="0" collapsed="false">
      <c r="A15" s="6" t="s">
        <v>29</v>
      </c>
      <c r="B15" s="6" t="s">
        <v>30</v>
      </c>
      <c r="C15" s="6" t="s">
        <v>31</v>
      </c>
    </row>
    <row r="16" customFormat="false" ht="33" hidden="false" customHeight="true" outlineLevel="0" collapsed="false">
      <c r="A16" s="8" t="s">
        <v>32</v>
      </c>
      <c r="B16" s="13" t="str">
        <f aca="false">'Revenue Model'!$B$4</f>
        <v>Complete</v>
      </c>
      <c r="C16" s="8" t="s">
        <v>33</v>
      </c>
    </row>
    <row r="17" customFormat="false" ht="20.25" hidden="false" customHeight="true" outlineLevel="0" collapsed="false">
      <c r="A17" s="10" t="s">
        <v>34</v>
      </c>
      <c r="B17" s="14" t="n">
        <f aca="false">'Assumptions &amp; Sources'!$C$17</f>
        <v>0</v>
      </c>
      <c r="C17" s="10" t="s">
        <v>35</v>
      </c>
    </row>
    <row r="18" customFormat="false" ht="20.25" hidden="false" customHeight="true" outlineLevel="0" collapsed="false">
      <c r="A18" s="8" t="s">
        <v>36</v>
      </c>
      <c r="B18" s="15" t="n">
        <f aca="false">COUNTIF('Assumptions &amp; Sources'!$E$6:$E$100,"Documented")</f>
        <v>40</v>
      </c>
      <c r="C18" s="8" t="s">
        <v>37</v>
      </c>
    </row>
    <row r="19" customFormat="false" ht="20.25" hidden="false" customHeight="true" outlineLevel="0" collapsed="false">
      <c r="A19" s="10" t="s">
        <v>38</v>
      </c>
      <c r="B19" s="14" t="n">
        <f aca="false">COUNTIF('Assumptions &amp; Sources'!$E$6:$E$100,"Calculated")</f>
        <v>24</v>
      </c>
      <c r="C19" s="10" t="s">
        <v>39</v>
      </c>
    </row>
    <row r="20" customFormat="false" ht="33" hidden="false" customHeight="true" outlineLevel="0" collapsed="false">
      <c r="A20" s="8" t="s">
        <v>40</v>
      </c>
      <c r="B20" s="15" t="n">
        <f aca="false">COUNTIF('Assumptions &amp; Sources'!$E$6:$E$100,"Assumption")+COUNTIF('Assumptions &amp; Sources'!$E$6:$E$100,"Estimate")</f>
        <v>13</v>
      </c>
      <c r="C20" s="8" t="s">
        <v>41</v>
      </c>
    </row>
    <row r="21" customFormat="false" ht="20.25" hidden="false" customHeight="true" outlineLevel="0" collapsed="false">
      <c r="A21" s="10" t="s">
        <v>42</v>
      </c>
      <c r="B21" s="14" t="n">
        <f aca="false">COUNTIF('Assumptions &amp; Sources'!$E$6:$E$100,"TBD")</f>
        <v>0</v>
      </c>
      <c r="C21" s="10" t="s">
        <v>43</v>
      </c>
    </row>
    <row r="22" customFormat="false" ht="20.25" hidden="false" customHeight="true" outlineLevel="0" collapsed="false">
      <c r="A22" s="8" t="s">
        <v>44</v>
      </c>
      <c r="B22" s="15" t="n">
        <f aca="false">COUNTIF('GTM Strategy'!$A$4:$L$40,"TBD")</f>
        <v>0</v>
      </c>
      <c r="C22" s="8" t="s">
        <v>45</v>
      </c>
    </row>
    <row r="23" customFormat="false" ht="20.25" hidden="false" customHeight="true" outlineLevel="0" collapsed="false">
      <c r="A23" s="10" t="s">
        <v>46</v>
      </c>
      <c r="B23" s="14" t="str">
        <f aca="false">COUNT(Pricing!$F$12:$F$14)&amp;" of 3"</f>
        <v>3 of 3</v>
      </c>
      <c r="C23" s="10" t="s">
        <v>47</v>
      </c>
    </row>
    <row r="24" customFormat="false" ht="20.25" hidden="false" customHeight="true" outlineLevel="0" collapsed="false">
      <c r="A24" s="8" t="s">
        <v>48</v>
      </c>
      <c r="B24" s="15" t="n">
        <f aca="false">COUNTIF('Open Items'!$B$5:$B$19,"Contradiction")</f>
        <v>2</v>
      </c>
      <c r="C24" s="8" t="s">
        <v>49</v>
      </c>
    </row>
    <row r="25" customFormat="false" ht="20.25" hidden="false" customHeight="true" outlineLevel="0" collapsed="false">
      <c r="A25" s="10" t="s">
        <v>50</v>
      </c>
      <c r="B25" s="14" t="n">
        <f aca="false">COUNTA('Open Items'!$A$5:$A$19)</f>
        <v>15</v>
      </c>
      <c r="C25" s="10" t="s">
        <v>49</v>
      </c>
    </row>
    <row r="26" customFormat="false" ht="20.25" hidden="false" customHeight="true" outlineLevel="0" collapsed="false">
      <c r="A26" s="8" t="s">
        <v>51</v>
      </c>
      <c r="B26" s="13" t="n">
        <f aca="false">'Revenue Model'!$B$42</f>
        <v>1415170.45143181</v>
      </c>
      <c r="C26" s="8" t="s">
        <v>52</v>
      </c>
    </row>
    <row r="27" customFormat="false" ht="20.25" hidden="false" customHeight="true" outlineLevel="0" collapsed="false">
      <c r="A27" s="10" t="s">
        <v>53</v>
      </c>
      <c r="B27" s="16" t="n">
        <f aca="false">'Revenue Model'!$B$45</f>
        <v>4496415.31377745</v>
      </c>
      <c r="C27" s="10" t="s">
        <v>54</v>
      </c>
    </row>
  </sheetData>
  <mergeCells count="1">
    <mergeCell ref="A2:C2"/>
  </mergeCells>
  <conditionalFormatting sqref="B16:B27">
    <cfRule type="cellIs" priority="2" operator="equal" aboveAverage="0" equalAverage="0" bottom="0" percent="0" rank="0" text="" dxfId="0">
      <formula>"TBD"</formula>
    </cfRule>
  </conditionalFormatting>
  <conditionalFormatting sqref="B16">
    <cfRule type="cellIs" priority="3" operator="equal" aboveAverage="0" equalAverage="0" bottom="0" percent="0" rank="0" text="" dxfId="1">
      <formula>"INCOMPLETE"</formula>
    </cfRule>
    <cfRule type="cellIs" priority="4" operator="equal" aboveAverage="0" equalAverage="0" bottom="0" percent="0" rank="0" text="" dxfId="2">
      <formula>"Complete"</formula>
    </cfRule>
  </conditionalFormatting>
  <printOptions headings="false" gridLines="false" gridLinesSet="true" horizontalCentered="false" verticalCentered="false"/>
  <pageMargins left="0.4" right="0.4" top="0.5" bottom="0.5" header="0.511811023622047" footer="0.511805555555556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&amp;L&amp;8 &amp;K64748bEDGE.MEM · GTM Pricing&amp;C&amp;8 &amp;K64748b&amp;A&amp;R&amp;8 &amp;K64748bPage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75569"/>
    <pageSetUpPr fitToPage="true"/>
  </sheetPr>
  <dimension ref="A1:L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8"/>
    <col collapsed="false" customWidth="true" hidden="false" outlineLevel="0" max="3" min="3" style="1" width="22"/>
    <col collapsed="false" customWidth="true" hidden="false" outlineLevel="0" max="5" min="4" style="1" width="40"/>
    <col collapsed="false" customWidth="true" hidden="false" outlineLevel="0" max="7" min="6" style="1" width="36"/>
    <col collapsed="false" customWidth="true" hidden="false" outlineLevel="0" max="9" min="8" style="1" width="26"/>
    <col collapsed="false" customWidth="true" hidden="false" outlineLevel="0" max="10" min="10" style="1" width="16"/>
    <col collapsed="false" customWidth="true" hidden="false" outlineLevel="0" max="11" min="11" style="1" width="26"/>
    <col collapsed="false" customWidth="true" hidden="false" outlineLevel="0" max="12" min="12" style="1" width="30"/>
  </cols>
  <sheetData>
    <row r="1" customFormat="false" ht="36" hidden="false" customHeight="true" outlineLevel="0" collapsed="false">
      <c r="A1" s="2" t="s">
        <v>55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</row>
    <row r="2" customFormat="false" ht="24.75" hidden="false" customHeight="true" outlineLevel="0" collapsed="false">
      <c r="A2" s="4" t="s">
        <v>56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</row>
    <row r="3" customFormat="false" ht="3.75" hidden="false" customHeight="true" outlineLevel="0" collapsed="false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</row>
    <row r="4" customFormat="false" ht="37.5" hidden="false" customHeight="true" outlineLevel="0" collapsed="false">
      <c r="A4" s="6" t="s">
        <v>57</v>
      </c>
      <c r="B4" s="6" t="s">
        <v>58</v>
      </c>
      <c r="C4" s="6" t="s">
        <v>59</v>
      </c>
      <c r="D4" s="6" t="s">
        <v>60</v>
      </c>
      <c r="E4" s="6" t="s">
        <v>61</v>
      </c>
      <c r="F4" s="6" t="s">
        <v>62</v>
      </c>
      <c r="G4" s="6" t="s">
        <v>63</v>
      </c>
      <c r="H4" s="6" t="s">
        <v>64</v>
      </c>
      <c r="I4" s="6" t="s">
        <v>65</v>
      </c>
      <c r="J4" s="6" t="s">
        <v>66</v>
      </c>
      <c r="K4" s="6" t="s">
        <v>67</v>
      </c>
      <c r="L4" s="6" t="s">
        <v>4</v>
      </c>
    </row>
    <row r="5" customFormat="false" ht="211.5" hidden="false" customHeight="true" outlineLevel="0" collapsed="false">
      <c r="A5" s="8" t="s">
        <v>68</v>
      </c>
      <c r="B5" s="8" t="s">
        <v>69</v>
      </c>
      <c r="C5" s="8" t="s">
        <v>70</v>
      </c>
      <c r="D5" s="8" t="s">
        <v>71</v>
      </c>
      <c r="E5" s="8" t="s">
        <v>72</v>
      </c>
      <c r="F5" s="8" t="s">
        <v>73</v>
      </c>
      <c r="G5" s="8" t="s">
        <v>74</v>
      </c>
      <c r="H5" s="8" t="s">
        <v>75</v>
      </c>
      <c r="I5" s="8" t="s">
        <v>76</v>
      </c>
      <c r="J5" s="8" t="s">
        <v>77</v>
      </c>
      <c r="K5" s="8" t="s">
        <v>78</v>
      </c>
      <c r="L5" s="8" t="s">
        <v>79</v>
      </c>
    </row>
    <row r="6" customFormat="false" ht="96.75" hidden="false" customHeight="true" outlineLevel="0" collapsed="false">
      <c r="A6" s="10" t="s">
        <v>80</v>
      </c>
      <c r="B6" s="10" t="s">
        <v>81</v>
      </c>
      <c r="C6" s="10" t="s">
        <v>82</v>
      </c>
      <c r="D6" s="10" t="s">
        <v>83</v>
      </c>
      <c r="E6" s="10" t="s">
        <v>84</v>
      </c>
      <c r="F6" s="10" t="s">
        <v>85</v>
      </c>
      <c r="G6" s="10" t="s">
        <v>86</v>
      </c>
      <c r="H6" s="10" t="s">
        <v>87</v>
      </c>
      <c r="I6" s="10" t="s">
        <v>88</v>
      </c>
      <c r="J6" s="10" t="s">
        <v>89</v>
      </c>
      <c r="K6" s="10" t="s">
        <v>90</v>
      </c>
      <c r="L6" s="10" t="s">
        <v>91</v>
      </c>
    </row>
    <row r="7" customFormat="false" ht="45.75" hidden="false" customHeight="true" outlineLevel="0" collapsed="false">
      <c r="A7" s="8" t="s">
        <v>92</v>
      </c>
      <c r="B7" s="8" t="s">
        <v>93</v>
      </c>
      <c r="C7" s="8" t="s">
        <v>94</v>
      </c>
      <c r="D7" s="8" t="s">
        <v>95</v>
      </c>
      <c r="E7" s="8" t="s">
        <v>96</v>
      </c>
      <c r="F7" s="8" t="s">
        <v>97</v>
      </c>
      <c r="G7" s="8" t="s">
        <v>98</v>
      </c>
      <c r="H7" s="8" t="s">
        <v>99</v>
      </c>
      <c r="I7" s="8" t="s">
        <v>100</v>
      </c>
      <c r="J7" s="8" t="s">
        <v>101</v>
      </c>
      <c r="K7" s="8" t="s">
        <v>102</v>
      </c>
      <c r="L7" s="8" t="s">
        <v>103</v>
      </c>
    </row>
    <row r="8" customFormat="false" ht="45.75" hidden="false" customHeight="true" outlineLevel="0" collapsed="false">
      <c r="A8" s="10" t="s">
        <v>104</v>
      </c>
      <c r="B8" s="10" t="s">
        <v>105</v>
      </c>
      <c r="C8" s="10" t="s">
        <v>106</v>
      </c>
      <c r="D8" s="10" t="s">
        <v>107</v>
      </c>
      <c r="E8" s="10" t="s">
        <v>108</v>
      </c>
      <c r="F8" s="10" t="s">
        <v>109</v>
      </c>
      <c r="G8" s="10" t="s">
        <v>110</v>
      </c>
      <c r="H8" s="10" t="s">
        <v>111</v>
      </c>
      <c r="I8" s="10" t="s">
        <v>112</v>
      </c>
      <c r="J8" s="10" t="s">
        <v>113</v>
      </c>
      <c r="K8" s="10" t="s">
        <v>114</v>
      </c>
      <c r="L8" s="10" t="s">
        <v>115</v>
      </c>
    </row>
    <row r="9" customFormat="false" ht="45.75" hidden="false" customHeight="true" outlineLevel="0" collapsed="false">
      <c r="A9" s="8" t="s">
        <v>116</v>
      </c>
      <c r="B9" s="8" t="s">
        <v>117</v>
      </c>
      <c r="C9" s="8" t="s">
        <v>118</v>
      </c>
      <c r="D9" s="8" t="s">
        <v>119</v>
      </c>
      <c r="E9" s="8" t="s">
        <v>96</v>
      </c>
      <c r="F9" s="8" t="s">
        <v>120</v>
      </c>
      <c r="G9" s="8" t="s">
        <v>121</v>
      </c>
      <c r="H9" s="8" t="s">
        <v>122</v>
      </c>
      <c r="I9" s="8" t="s">
        <v>123</v>
      </c>
      <c r="J9" s="8" t="s">
        <v>124</v>
      </c>
      <c r="K9" s="8" t="s">
        <v>102</v>
      </c>
      <c r="L9" s="8" t="s">
        <v>125</v>
      </c>
    </row>
    <row r="11" customFormat="false" ht="24" hidden="false" customHeight="true" outlineLevel="0" collapsed="false">
      <c r="A11" s="11" t="s">
        <v>126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</row>
    <row r="12" customFormat="false" ht="27.75" hidden="false" customHeight="true" outlineLevel="0" collapsed="false">
      <c r="A12" s="6" t="s">
        <v>57</v>
      </c>
      <c r="B12" s="6" t="s">
        <v>127</v>
      </c>
      <c r="C12" s="6" t="s">
        <v>128</v>
      </c>
      <c r="D12" s="6" t="s">
        <v>129</v>
      </c>
      <c r="E12" s="17"/>
      <c r="F12" s="17"/>
      <c r="G12" s="17"/>
      <c r="H12" s="17"/>
      <c r="I12" s="6" t="s">
        <v>130</v>
      </c>
      <c r="J12" s="17"/>
      <c r="K12" s="6" t="s">
        <v>67</v>
      </c>
      <c r="L12" s="6" t="s">
        <v>4</v>
      </c>
    </row>
    <row r="13" customFormat="false" ht="33" hidden="false" customHeight="true" outlineLevel="0" collapsed="false">
      <c r="A13" s="8" t="s">
        <v>131</v>
      </c>
      <c r="B13" s="8" t="s">
        <v>132</v>
      </c>
      <c r="C13" s="8" t="s">
        <v>133</v>
      </c>
      <c r="D13" s="8" t="s">
        <v>134</v>
      </c>
      <c r="E13" s="8"/>
      <c r="F13" s="8"/>
      <c r="G13" s="8"/>
      <c r="H13" s="8"/>
      <c r="I13" s="8" t="s">
        <v>135</v>
      </c>
      <c r="J13" s="8"/>
      <c r="K13" s="8" t="s">
        <v>136</v>
      </c>
      <c r="L13" s="8" t="s">
        <v>137</v>
      </c>
    </row>
    <row r="14" customFormat="false" ht="33" hidden="false" customHeight="true" outlineLevel="0" collapsed="false">
      <c r="A14" s="10" t="s">
        <v>138</v>
      </c>
      <c r="B14" s="10" t="s">
        <v>139</v>
      </c>
      <c r="C14" s="10" t="s">
        <v>133</v>
      </c>
      <c r="D14" s="10" t="s">
        <v>140</v>
      </c>
      <c r="E14" s="10"/>
      <c r="F14" s="10"/>
      <c r="G14" s="10"/>
      <c r="H14" s="10"/>
      <c r="I14" s="10" t="s">
        <v>141</v>
      </c>
      <c r="J14" s="10"/>
      <c r="K14" s="10" t="s">
        <v>136</v>
      </c>
      <c r="L14" s="10" t="s">
        <v>137</v>
      </c>
    </row>
    <row r="15" customFormat="false" ht="33" hidden="false" customHeight="true" outlineLevel="0" collapsed="false">
      <c r="A15" s="8" t="s">
        <v>142</v>
      </c>
      <c r="B15" s="8" t="s">
        <v>143</v>
      </c>
      <c r="C15" s="8" t="s">
        <v>144</v>
      </c>
      <c r="D15" s="8" t="s">
        <v>145</v>
      </c>
      <c r="E15" s="8"/>
      <c r="F15" s="8"/>
      <c r="G15" s="8"/>
      <c r="H15" s="8"/>
      <c r="I15" s="8" t="s">
        <v>146</v>
      </c>
      <c r="J15" s="8"/>
      <c r="K15" s="8" t="s">
        <v>136</v>
      </c>
      <c r="L15" s="8" t="s">
        <v>137</v>
      </c>
    </row>
  </sheetData>
  <autoFilter ref="A4:L9"/>
  <mergeCells count="1">
    <mergeCell ref="A2:L2"/>
  </mergeCells>
  <conditionalFormatting sqref="A5:L9">
    <cfRule type="cellIs" priority="2" operator="equal" aboveAverage="0" equalAverage="0" bottom="0" percent="0" rank="0" text="" dxfId="0">
      <formula>"TBD"</formula>
    </cfRule>
  </conditionalFormatting>
  <conditionalFormatting sqref="K5:K9">
    <cfRule type="expression" priority="3" aboveAverage="0" equalAverage="0" bottom="0" percent="0" rank="0" text="" dxfId="2">
      <formula>LEFT($K5,10)="Documented"</formula>
    </cfRule>
    <cfRule type="expression" priority="4" aboveAverage="0" equalAverage="0" bottom="0" percent="0" rank="0" text="" dxfId="1">
      <formula>LEFT($K5,10)="Hypothesis"</formula>
    </cfRule>
  </conditionalFormatting>
  <conditionalFormatting sqref="I13:I15">
    <cfRule type="cellIs" priority="5" operator="equal" aboveAverage="0" equalAverage="0" bottom="0" percent="0" rank="0" text="" dxfId="0">
      <formula>"TBD"</formula>
    </cfRule>
  </conditionalFormatting>
  <printOptions headings="false" gridLines="false" gridLinesSet="true" horizontalCentered="false" verticalCentered="false"/>
  <pageMargins left="0.4" right="0.4" top="0.5" bottom="0.5" header="0.511811023622047" footer="0.511805555555556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&amp;K64748bEDGE.MEM · GTM Pricing&amp;C&amp;8 &amp;K64748b&amp;A&amp;R&amp;8 &amp;K64748bPage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75569"/>
    <pageSetUpPr fitToPage="true"/>
  </sheetPr>
  <dimension ref="A1:L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6"/>
    <col collapsed="false" customWidth="true" hidden="false" outlineLevel="0" max="3" min="3" style="1" width="40"/>
    <col collapsed="false" customWidth="true" hidden="false" outlineLevel="0" max="5" min="4" style="1" width="20"/>
    <col collapsed="false" customWidth="true" hidden="false" outlineLevel="0" max="6" min="6" style="1" width="30"/>
    <col collapsed="false" customWidth="true" hidden="false" outlineLevel="0" max="8" min="7" style="1" width="20"/>
    <col collapsed="false" customWidth="true" hidden="false" outlineLevel="0" max="9" min="9" style="1" width="26"/>
    <col collapsed="false" customWidth="true" hidden="false" outlineLevel="0" max="10" min="10" style="1" width="20"/>
    <col collapsed="false" customWidth="true" hidden="false" outlineLevel="0" max="11" min="11" style="1" width="16"/>
    <col collapsed="false" customWidth="true" hidden="false" outlineLevel="0" max="12" min="12" style="1" width="26"/>
  </cols>
  <sheetData>
    <row r="1" customFormat="false" ht="36" hidden="false" customHeight="true" outlineLevel="0" collapsed="false">
      <c r="A1" s="2" t="s">
        <v>147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</row>
    <row r="2" customFormat="false" ht="24.75" hidden="false" customHeight="true" outlineLevel="0" collapsed="false">
      <c r="A2" s="4" t="s">
        <v>148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</row>
    <row r="3" customFormat="false" ht="3.75" hidden="false" customHeight="true" outlineLevel="0" collapsed="false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</row>
    <row r="4" customFormat="false" ht="37.5" hidden="false" customHeight="true" outlineLevel="0" collapsed="false">
      <c r="A4" s="6" t="s">
        <v>57</v>
      </c>
      <c r="B4" s="6" t="s">
        <v>149</v>
      </c>
      <c r="C4" s="6" t="s">
        <v>150</v>
      </c>
      <c r="D4" s="6" t="s">
        <v>151</v>
      </c>
      <c r="E4" s="6" t="s">
        <v>152</v>
      </c>
      <c r="F4" s="6" t="s">
        <v>153</v>
      </c>
      <c r="G4" s="6" t="s">
        <v>154</v>
      </c>
      <c r="H4" s="6" t="s">
        <v>155</v>
      </c>
      <c r="I4" s="6" t="s">
        <v>156</v>
      </c>
      <c r="J4" s="6" t="s">
        <v>157</v>
      </c>
      <c r="K4" s="6" t="s">
        <v>158</v>
      </c>
      <c r="L4" s="6" t="s">
        <v>67</v>
      </c>
    </row>
    <row r="5" customFormat="false" ht="71.25" hidden="false" customHeight="true" outlineLevel="0" collapsed="false">
      <c r="A5" s="8" t="s">
        <v>68</v>
      </c>
      <c r="B5" s="8" t="s">
        <v>159</v>
      </c>
      <c r="C5" s="8" t="s">
        <v>160</v>
      </c>
      <c r="D5" s="8" t="s">
        <v>161</v>
      </c>
      <c r="E5" s="8" t="s">
        <v>162</v>
      </c>
      <c r="F5" s="8" t="s">
        <v>163</v>
      </c>
      <c r="G5" s="8" t="s">
        <v>164</v>
      </c>
      <c r="H5" s="8" t="s">
        <v>165</v>
      </c>
      <c r="I5" s="8" t="s">
        <v>166</v>
      </c>
      <c r="J5" s="8" t="str">
        <f aca="false">"New fleets/mo "&amp;TEXT('Assumptions &amp; Sources'!$C$8,"0.0")&amp;"; pilots/mo "&amp;TEXT('Assumptions &amp; Sources'!$C$83,"0.0")&amp;"; "&amp;'Assumptions &amp; Sources'!$C$53&amp;" paying fleets by M"&amp;'Assumptions &amp; Sources'!$C$54</f>
        <v>New fleets/mo 4.6; pilots/mo 9.3; 50 paying fleets by M12</v>
      </c>
      <c r="K5" s="8" t="s">
        <v>167</v>
      </c>
      <c r="L5" s="8" t="s">
        <v>168</v>
      </c>
    </row>
    <row r="6" customFormat="false" ht="45.75" hidden="false" customHeight="true" outlineLevel="0" collapsed="false">
      <c r="A6" s="10" t="s">
        <v>80</v>
      </c>
      <c r="B6" s="10" t="s">
        <v>169</v>
      </c>
      <c r="C6" s="10" t="s">
        <v>170</v>
      </c>
      <c r="D6" s="10" t="s">
        <v>171</v>
      </c>
      <c r="E6" s="10" t="s">
        <v>172</v>
      </c>
      <c r="F6" s="10" t="s">
        <v>163</v>
      </c>
      <c r="G6" s="10" t="s">
        <v>173</v>
      </c>
      <c r="H6" s="10" t="s">
        <v>174</v>
      </c>
      <c r="I6" s="10" t="s">
        <v>175</v>
      </c>
      <c r="J6" s="10" t="s">
        <v>176</v>
      </c>
      <c r="K6" s="10" t="s">
        <v>177</v>
      </c>
      <c r="L6" s="10" t="s">
        <v>178</v>
      </c>
    </row>
    <row r="7" customFormat="false" ht="45.75" hidden="false" customHeight="true" outlineLevel="0" collapsed="false">
      <c r="A7" s="8" t="s">
        <v>92</v>
      </c>
      <c r="B7" s="8" t="s">
        <v>93</v>
      </c>
      <c r="C7" s="8" t="s">
        <v>179</v>
      </c>
      <c r="D7" s="8" t="s">
        <v>180</v>
      </c>
      <c r="E7" s="8" t="s">
        <v>181</v>
      </c>
      <c r="F7" s="8" t="s">
        <v>163</v>
      </c>
      <c r="G7" s="8" t="s">
        <v>182</v>
      </c>
      <c r="H7" s="8" t="s">
        <v>183</v>
      </c>
      <c r="I7" s="8" t="s">
        <v>184</v>
      </c>
      <c r="J7" s="8" t="s">
        <v>185</v>
      </c>
      <c r="K7" s="8" t="s">
        <v>186</v>
      </c>
      <c r="L7" s="8" t="s">
        <v>187</v>
      </c>
    </row>
    <row r="8" customFormat="false" ht="45.75" hidden="false" customHeight="true" outlineLevel="0" collapsed="false">
      <c r="A8" s="10" t="s">
        <v>104</v>
      </c>
      <c r="B8" s="10" t="s">
        <v>188</v>
      </c>
      <c r="C8" s="10" t="s">
        <v>189</v>
      </c>
      <c r="D8" s="10" t="s">
        <v>190</v>
      </c>
      <c r="E8" s="10" t="s">
        <v>191</v>
      </c>
      <c r="F8" s="10" t="s">
        <v>163</v>
      </c>
      <c r="G8" s="10" t="s">
        <v>192</v>
      </c>
      <c r="H8" s="10" t="s">
        <v>191</v>
      </c>
      <c r="I8" s="10" t="s">
        <v>193</v>
      </c>
      <c r="J8" s="10" t="s">
        <v>194</v>
      </c>
      <c r="K8" s="10" t="s">
        <v>195</v>
      </c>
      <c r="L8" s="10" t="s">
        <v>187</v>
      </c>
    </row>
    <row r="9" customFormat="false" ht="45.75" hidden="false" customHeight="true" outlineLevel="0" collapsed="false">
      <c r="A9" s="8" t="s">
        <v>116</v>
      </c>
      <c r="B9" s="8" t="s">
        <v>196</v>
      </c>
      <c r="C9" s="8" t="s">
        <v>197</v>
      </c>
      <c r="D9" s="8" t="s">
        <v>198</v>
      </c>
      <c r="E9" s="8" t="s">
        <v>199</v>
      </c>
      <c r="F9" s="8" t="s">
        <v>163</v>
      </c>
      <c r="G9" s="8" t="s">
        <v>200</v>
      </c>
      <c r="H9" s="8" t="s">
        <v>201</v>
      </c>
      <c r="I9" s="8" t="s">
        <v>202</v>
      </c>
      <c r="J9" s="8" t="s">
        <v>203</v>
      </c>
      <c r="K9" s="8" t="s">
        <v>204</v>
      </c>
      <c r="L9" s="8" t="s">
        <v>187</v>
      </c>
    </row>
    <row r="11" customFormat="false" ht="24" hidden="false" customHeight="true" outlineLevel="0" collapsed="false">
      <c r="A11" s="11" t="s">
        <v>205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</row>
    <row r="12" customFormat="false" ht="27.75" hidden="false" customHeight="true" outlineLevel="0" collapsed="false">
      <c r="A12" s="6" t="s">
        <v>206</v>
      </c>
      <c r="B12" s="6" t="s">
        <v>207</v>
      </c>
      <c r="C12" s="6" t="s">
        <v>208</v>
      </c>
      <c r="D12" s="6" t="s">
        <v>209</v>
      </c>
      <c r="E12" s="6" t="s">
        <v>210</v>
      </c>
      <c r="F12" s="6" t="s">
        <v>211</v>
      </c>
      <c r="G12" s="17"/>
      <c r="H12" s="17"/>
      <c r="I12" s="17"/>
      <c r="J12" s="17"/>
      <c r="K12" s="17"/>
      <c r="L12" s="6" t="s">
        <v>67</v>
      </c>
    </row>
    <row r="13" customFormat="false" ht="20.25" hidden="false" customHeight="true" outlineLevel="0" collapsed="false">
      <c r="A13" s="8" t="n">
        <v>1</v>
      </c>
      <c r="B13" s="8" t="s">
        <v>212</v>
      </c>
      <c r="C13" s="8" t="s">
        <v>213</v>
      </c>
      <c r="D13" s="8" t="s">
        <v>214</v>
      </c>
      <c r="E13" s="8" t="str">
        <f aca="false">TEXT('Assumptions &amp; Sources'!$C$85,"0.0")&amp;" leads/month"</f>
        <v>92.9 leads/month</v>
      </c>
      <c r="F13" s="8" t="s">
        <v>215</v>
      </c>
      <c r="G13" s="8"/>
      <c r="H13" s="8"/>
      <c r="I13" s="8"/>
      <c r="J13" s="8"/>
      <c r="K13" s="8"/>
      <c r="L13" s="8" t="s">
        <v>216</v>
      </c>
    </row>
    <row r="14" customFormat="false" ht="33" hidden="false" customHeight="true" outlineLevel="0" collapsed="false">
      <c r="A14" s="10" t="n">
        <v>2</v>
      </c>
      <c r="B14" s="10" t="s">
        <v>217</v>
      </c>
      <c r="C14" s="10" t="s">
        <v>218</v>
      </c>
      <c r="D14" s="10" t="str">
        <f aca="false">"Lead to demo "&amp;TEXT('Assumptions &amp; Sources'!$C$68,"0%")</f>
        <v>Lead to demo 25%</v>
      </c>
      <c r="E14" s="10" t="str">
        <f aca="false">TEXT('Assumptions &amp; Sources'!$C$84,"0.0")&amp;" demos/month"</f>
        <v>23.2 demos/month</v>
      </c>
      <c r="F14" s="10" t="s">
        <v>219</v>
      </c>
      <c r="G14" s="10"/>
      <c r="H14" s="10"/>
      <c r="I14" s="10"/>
      <c r="J14" s="10"/>
      <c r="K14" s="10"/>
      <c r="L14" s="10" t="s">
        <v>216</v>
      </c>
    </row>
    <row r="15" customFormat="false" ht="45.75" hidden="false" customHeight="true" outlineLevel="0" collapsed="false">
      <c r="A15" s="8" t="n">
        <v>3</v>
      </c>
      <c r="B15" s="8" t="s">
        <v>220</v>
      </c>
      <c r="C15" s="8" t="s">
        <v>221</v>
      </c>
      <c r="D15" s="8" t="str">
        <f aca="false">"Demo to pilot "&amp;TEXT('Assumptions &amp; Sources'!$C$69,"0%")</f>
        <v>Demo to pilot 40%</v>
      </c>
      <c r="E15" s="8" t="str">
        <f aca="false">TEXT('Assumptions &amp; Sources'!$C$83,"0.0")&amp;" pilots/month"</f>
        <v>9.3 pilots/month</v>
      </c>
      <c r="F15" s="8" t="s">
        <v>222</v>
      </c>
      <c r="G15" s="8"/>
      <c r="H15" s="8"/>
      <c r="I15" s="8"/>
      <c r="J15" s="8"/>
      <c r="K15" s="8"/>
      <c r="L15" s="8" t="s">
        <v>216</v>
      </c>
    </row>
    <row r="16" customFormat="false" ht="33" hidden="false" customHeight="true" outlineLevel="0" collapsed="false">
      <c r="A16" s="10" t="n">
        <v>4</v>
      </c>
      <c r="B16" s="10" t="s">
        <v>223</v>
      </c>
      <c r="C16" s="10" t="s">
        <v>224</v>
      </c>
      <c r="D16" s="10" t="str">
        <f aca="false">"Pilot to paid "&amp;TEXT('Assumptions &amp; Sources'!$C$70,"0%")</f>
        <v>Pilot to paid 50%</v>
      </c>
      <c r="E16" s="10" t="str">
        <f aca="false">TEXT('Assumptions &amp; Sources'!$C$8,"0.0")&amp;" new paying fleets/month"</f>
        <v>4.6 new paying fleets/month</v>
      </c>
      <c r="F16" s="10" t="s">
        <v>215</v>
      </c>
      <c r="G16" s="10"/>
      <c r="H16" s="10"/>
      <c r="I16" s="10"/>
      <c r="J16" s="10"/>
      <c r="K16" s="10"/>
      <c r="L16" s="10" t="s">
        <v>216</v>
      </c>
    </row>
    <row r="17" customFormat="false" ht="33" hidden="false" customHeight="true" outlineLevel="0" collapsed="false">
      <c r="A17" s="8" t="n">
        <v>5</v>
      </c>
      <c r="B17" s="8" t="s">
        <v>225</v>
      </c>
      <c r="C17" s="8" t="s">
        <v>226</v>
      </c>
      <c r="D17" s="8" t="s">
        <v>227</v>
      </c>
      <c r="E17" s="8" t="s">
        <v>228</v>
      </c>
      <c r="F17" s="8" t="s">
        <v>222</v>
      </c>
      <c r="G17" s="8"/>
      <c r="H17" s="8"/>
      <c r="I17" s="8"/>
      <c r="J17" s="8"/>
      <c r="K17" s="8"/>
      <c r="L17" s="8" t="s">
        <v>229</v>
      </c>
    </row>
    <row r="18" customFormat="false" ht="33" hidden="false" customHeight="true" outlineLevel="0" collapsed="false">
      <c r="A18" s="10" t="n">
        <v>6</v>
      </c>
      <c r="B18" s="10" t="s">
        <v>230</v>
      </c>
      <c r="C18" s="10" t="s">
        <v>231</v>
      </c>
      <c r="D18" s="10" t="s">
        <v>232</v>
      </c>
      <c r="E18" s="10" t="s">
        <v>233</v>
      </c>
      <c r="F18" s="10" t="s">
        <v>234</v>
      </c>
      <c r="G18" s="10"/>
      <c r="H18" s="10"/>
      <c r="I18" s="10"/>
      <c r="J18" s="10"/>
      <c r="K18" s="10"/>
      <c r="L18" s="10" t="s">
        <v>229</v>
      </c>
    </row>
    <row r="20" customFormat="false" ht="24" hidden="false" customHeight="true" outlineLevel="0" collapsed="false">
      <c r="A20" s="11" t="s">
        <v>235</v>
      </c>
      <c r="B20" s="12"/>
      <c r="C20" s="12"/>
      <c r="D20" s="12"/>
      <c r="E20" s="12"/>
      <c r="F20" s="18"/>
      <c r="G20" s="18"/>
      <c r="H20" s="18"/>
      <c r="I20" s="18"/>
      <c r="J20" s="18"/>
      <c r="K20" s="18"/>
      <c r="L20" s="18"/>
    </row>
    <row r="21" customFormat="false" ht="27.75" hidden="false" customHeight="true" outlineLevel="0" collapsed="false">
      <c r="A21" s="6" t="s">
        <v>206</v>
      </c>
      <c r="B21" s="6" t="s">
        <v>236</v>
      </c>
      <c r="C21" s="6" t="s">
        <v>237</v>
      </c>
      <c r="D21" s="6" t="s">
        <v>67</v>
      </c>
      <c r="E21" s="6" t="s">
        <v>4</v>
      </c>
      <c r="F21" s="19"/>
      <c r="G21" s="19"/>
      <c r="H21" s="19"/>
      <c r="I21" s="19"/>
      <c r="J21" s="19"/>
      <c r="K21" s="19"/>
      <c r="L21" s="19"/>
    </row>
    <row r="22" customFormat="false" ht="58.5" hidden="false" customHeight="true" outlineLevel="0" collapsed="false">
      <c r="A22" s="8" t="n">
        <v>1</v>
      </c>
      <c r="B22" s="8" t="s">
        <v>238</v>
      </c>
      <c r="C22" s="8" t="s">
        <v>239</v>
      </c>
      <c r="D22" s="8" t="s">
        <v>240</v>
      </c>
      <c r="E22" s="8" t="s">
        <v>241</v>
      </c>
      <c r="F22" s="20"/>
      <c r="G22" s="20"/>
      <c r="H22" s="20"/>
      <c r="I22" s="20"/>
      <c r="J22" s="20"/>
      <c r="K22" s="20"/>
      <c r="L22" s="20"/>
    </row>
    <row r="23" customFormat="false" ht="58.5" hidden="false" customHeight="true" outlineLevel="0" collapsed="false">
      <c r="A23" s="10" t="n">
        <v>2</v>
      </c>
      <c r="B23" s="10" t="s">
        <v>242</v>
      </c>
      <c r="C23" s="10" t="s">
        <v>243</v>
      </c>
      <c r="D23" s="10" t="s">
        <v>240</v>
      </c>
      <c r="E23" s="10" t="s">
        <v>244</v>
      </c>
      <c r="F23" s="20"/>
      <c r="G23" s="20"/>
      <c r="H23" s="20"/>
      <c r="I23" s="20"/>
      <c r="J23" s="20"/>
      <c r="K23" s="20"/>
      <c r="L23" s="20"/>
    </row>
    <row r="24" customFormat="false" ht="33" hidden="false" customHeight="true" outlineLevel="0" collapsed="false">
      <c r="A24" s="8" t="n">
        <v>3</v>
      </c>
      <c r="B24" s="8" t="s">
        <v>245</v>
      </c>
      <c r="C24" s="8" t="s">
        <v>246</v>
      </c>
      <c r="D24" s="8" t="s">
        <v>240</v>
      </c>
      <c r="E24" s="8" t="s">
        <v>247</v>
      </c>
      <c r="F24" s="20"/>
      <c r="G24" s="20"/>
      <c r="H24" s="20"/>
      <c r="I24" s="20"/>
      <c r="J24" s="20"/>
      <c r="K24" s="20"/>
      <c r="L24" s="20"/>
    </row>
    <row r="25" customFormat="false" ht="71.25" hidden="false" customHeight="true" outlineLevel="0" collapsed="false">
      <c r="A25" s="10" t="n">
        <v>4</v>
      </c>
      <c r="B25" s="10" t="s">
        <v>248</v>
      </c>
      <c r="C25" s="10" t="s">
        <v>249</v>
      </c>
      <c r="D25" s="10" t="s">
        <v>240</v>
      </c>
      <c r="E25" s="10" t="s">
        <v>250</v>
      </c>
      <c r="F25" s="20"/>
      <c r="G25" s="20"/>
      <c r="H25" s="20"/>
      <c r="I25" s="20"/>
      <c r="J25" s="20"/>
      <c r="K25" s="20"/>
      <c r="L25" s="20"/>
    </row>
    <row r="26" customFormat="false" ht="58.5" hidden="false" customHeight="true" outlineLevel="0" collapsed="false">
      <c r="A26" s="8" t="n">
        <v>5</v>
      </c>
      <c r="B26" s="8" t="s">
        <v>251</v>
      </c>
      <c r="C26" s="8" t="s">
        <v>252</v>
      </c>
      <c r="D26" s="8" t="s">
        <v>253</v>
      </c>
      <c r="E26" s="8" t="s">
        <v>254</v>
      </c>
      <c r="F26" s="20"/>
      <c r="G26" s="20"/>
      <c r="H26" s="20"/>
      <c r="I26" s="20"/>
      <c r="J26" s="20"/>
      <c r="K26" s="20"/>
      <c r="L26" s="20"/>
    </row>
    <row r="27" customFormat="false" ht="58.5" hidden="false" customHeight="true" outlineLevel="0" collapsed="false">
      <c r="A27" s="10" t="n">
        <v>6</v>
      </c>
      <c r="B27" s="10" t="s">
        <v>255</v>
      </c>
      <c r="C27" s="10" t="s">
        <v>256</v>
      </c>
      <c r="D27" s="10" t="s">
        <v>240</v>
      </c>
      <c r="E27" s="10" t="s">
        <v>257</v>
      </c>
      <c r="F27" s="20"/>
      <c r="G27" s="20"/>
      <c r="H27" s="20"/>
      <c r="I27" s="20"/>
      <c r="J27" s="20"/>
      <c r="K27" s="20"/>
      <c r="L27" s="20"/>
    </row>
    <row r="28" customFormat="false" ht="58.5" hidden="false" customHeight="true" outlineLevel="0" collapsed="false">
      <c r="A28" s="8" t="n">
        <v>7</v>
      </c>
      <c r="B28" s="8" t="s">
        <v>258</v>
      </c>
      <c r="C28" s="8" t="s">
        <v>259</v>
      </c>
      <c r="D28" s="8" t="s">
        <v>240</v>
      </c>
      <c r="E28" s="8" t="s">
        <v>260</v>
      </c>
      <c r="F28" s="20"/>
      <c r="G28" s="20"/>
      <c r="H28" s="20"/>
      <c r="I28" s="20"/>
      <c r="J28" s="20"/>
      <c r="K28" s="20"/>
      <c r="L28" s="20"/>
    </row>
  </sheetData>
  <mergeCells count="1">
    <mergeCell ref="A2:L2"/>
  </mergeCells>
  <conditionalFormatting sqref="A5:L9">
    <cfRule type="cellIs" priority="2" operator="equal" aboveAverage="0" equalAverage="0" bottom="0" percent="0" rank="0" text="" dxfId="0">
      <formula>"TBD"</formula>
    </cfRule>
  </conditionalFormatting>
  <conditionalFormatting sqref="A13:L18">
    <cfRule type="cellIs" priority="3" operator="equal" aboveAverage="0" equalAverage="0" bottom="0" percent="0" rank="0" text="" dxfId="0">
      <formula>"TBD"</formula>
    </cfRule>
  </conditionalFormatting>
  <conditionalFormatting sqref="D22:D28">
    <cfRule type="cellIs" priority="4" operator="equal" aboveAverage="0" equalAverage="0" bottom="0" percent="0" rank="0" text="" dxfId="1">
      <formula>"Open"</formula>
    </cfRule>
  </conditionalFormatting>
  <printOptions headings="false" gridLines="false" gridLinesSet="true" horizontalCentered="false" verticalCentered="false"/>
  <pageMargins left="0.4" right="0.4" top="0.5" bottom="0.5" header="0.511811023622047" footer="0.511805555555556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&amp;K64748bEDGE.MEM · GTM Pricing&amp;C&amp;8 &amp;K64748b&amp;A&amp;R&amp;8 &amp;K64748bPage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47857"/>
    <pageSetUpPr fitToPage="true"/>
  </sheetPr>
  <dimension ref="A1:I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4"/>
    <col collapsed="false" customWidth="true" hidden="false" outlineLevel="0" max="3" min="3" style="1" width="30"/>
    <col collapsed="false" customWidth="true" hidden="false" outlineLevel="0" max="5" min="4" style="1" width="16"/>
    <col collapsed="false" customWidth="true" hidden="false" outlineLevel="0" max="6" min="6" style="1" width="18"/>
    <col collapsed="false" customWidth="true" hidden="false" outlineLevel="0" max="7" min="7" style="1" width="26"/>
    <col collapsed="false" customWidth="true" hidden="false" outlineLevel="0" max="8" min="8" style="1" width="22"/>
    <col collapsed="false" customWidth="true" hidden="false" outlineLevel="0" max="9" min="9" style="1" width="44"/>
  </cols>
  <sheetData>
    <row r="1" customFormat="false" ht="36" hidden="false" customHeight="true" outlineLevel="0" collapsed="false">
      <c r="A1" s="2" t="s">
        <v>261</v>
      </c>
      <c r="B1" s="3"/>
      <c r="C1" s="3"/>
      <c r="D1" s="3"/>
      <c r="E1" s="3"/>
      <c r="F1" s="3"/>
      <c r="G1" s="3"/>
      <c r="H1" s="3"/>
      <c r="I1" s="3"/>
    </row>
    <row r="2" customFormat="false" ht="24.75" hidden="false" customHeight="true" outlineLevel="0" collapsed="false">
      <c r="A2" s="4" t="s">
        <v>262</v>
      </c>
      <c r="B2" s="4"/>
      <c r="C2" s="4"/>
      <c r="D2" s="4"/>
      <c r="E2" s="4"/>
      <c r="F2" s="4"/>
      <c r="G2" s="4"/>
      <c r="H2" s="4"/>
      <c r="I2" s="4"/>
    </row>
    <row r="3" customFormat="false" ht="3.75" hidden="false" customHeight="true" outlineLevel="0" collapsed="false">
      <c r="A3" s="5"/>
      <c r="B3" s="5"/>
      <c r="C3" s="5"/>
      <c r="D3" s="5"/>
      <c r="E3" s="5"/>
      <c r="F3" s="5"/>
      <c r="G3" s="5"/>
      <c r="H3" s="5"/>
      <c r="I3" s="5"/>
    </row>
    <row r="4" customFormat="false" ht="24" hidden="false" customHeight="true" outlineLevel="0" collapsed="false">
      <c r="A4" s="11" t="s">
        <v>263</v>
      </c>
      <c r="B4" s="12"/>
      <c r="C4" s="12"/>
      <c r="D4" s="12"/>
      <c r="E4" s="12"/>
      <c r="F4" s="12"/>
      <c r="G4" s="12"/>
      <c r="H4" s="12"/>
      <c r="I4" s="12"/>
    </row>
    <row r="5" customFormat="false" ht="27.75" hidden="false" customHeight="true" outlineLevel="0" collapsed="false">
      <c r="A5" s="6" t="s">
        <v>264</v>
      </c>
      <c r="B5" s="6" t="s">
        <v>30</v>
      </c>
      <c r="C5" s="6" t="s">
        <v>265</v>
      </c>
      <c r="D5" s="6" t="s">
        <v>67</v>
      </c>
      <c r="E5" s="17"/>
      <c r="F5" s="17"/>
      <c r="G5" s="17"/>
      <c r="H5" s="17"/>
      <c r="I5" s="6" t="s">
        <v>266</v>
      </c>
    </row>
    <row r="6" customFormat="false" ht="33" hidden="false" customHeight="true" outlineLevel="0" collapsed="false">
      <c r="A6" s="8" t="s">
        <v>267</v>
      </c>
      <c r="B6" s="21" t="s">
        <v>268</v>
      </c>
      <c r="C6" s="8" t="s">
        <v>269</v>
      </c>
      <c r="D6" s="8" t="s">
        <v>270</v>
      </c>
      <c r="E6" s="8"/>
      <c r="F6" s="8"/>
      <c r="G6" s="8"/>
      <c r="H6" s="8"/>
      <c r="I6" s="8" t="s">
        <v>271</v>
      </c>
    </row>
    <row r="7" customFormat="false" ht="33" hidden="false" customHeight="true" outlineLevel="0" collapsed="false">
      <c r="A7" s="10" t="s">
        <v>272</v>
      </c>
      <c r="B7" s="21" t="s">
        <v>273</v>
      </c>
      <c r="C7" s="10" t="s">
        <v>274</v>
      </c>
      <c r="D7" s="10" t="s">
        <v>270</v>
      </c>
      <c r="E7" s="10"/>
      <c r="F7" s="10"/>
      <c r="G7" s="10"/>
      <c r="H7" s="10"/>
      <c r="I7" s="10" t="s">
        <v>275</v>
      </c>
    </row>
    <row r="8" customFormat="false" ht="33" hidden="false" customHeight="true" outlineLevel="0" collapsed="false">
      <c r="A8" s="8" t="s">
        <v>276</v>
      </c>
      <c r="B8" s="21" t="s">
        <v>277</v>
      </c>
      <c r="C8" s="8" t="s">
        <v>278</v>
      </c>
      <c r="D8" s="8" t="s">
        <v>270</v>
      </c>
      <c r="E8" s="8"/>
      <c r="F8" s="8"/>
      <c r="G8" s="8"/>
      <c r="H8" s="8"/>
      <c r="I8" s="8" t="s">
        <v>279</v>
      </c>
    </row>
    <row r="10" customFormat="false" ht="24" hidden="false" customHeight="true" outlineLevel="0" collapsed="false">
      <c r="A10" s="11" t="s">
        <v>280</v>
      </c>
      <c r="B10" s="12"/>
      <c r="C10" s="12"/>
      <c r="D10" s="12"/>
      <c r="E10" s="12"/>
      <c r="F10" s="12"/>
      <c r="G10" s="12"/>
      <c r="H10" s="12"/>
      <c r="I10" s="12"/>
    </row>
    <row r="11" customFormat="false" ht="37.5" hidden="false" customHeight="true" outlineLevel="0" collapsed="false">
      <c r="A11" s="6" t="s">
        <v>281</v>
      </c>
      <c r="B11" s="6" t="s">
        <v>282</v>
      </c>
      <c r="C11" s="6" t="s">
        <v>8</v>
      </c>
      <c r="D11" s="6" t="s">
        <v>283</v>
      </c>
      <c r="E11" s="6" t="s">
        <v>284</v>
      </c>
      <c r="F11" s="6" t="s">
        <v>285</v>
      </c>
      <c r="G11" s="6" t="s">
        <v>286</v>
      </c>
      <c r="H11" s="6" t="s">
        <v>287</v>
      </c>
      <c r="I11" s="6" t="s">
        <v>266</v>
      </c>
    </row>
    <row r="12" customFormat="false" ht="33" hidden="false" customHeight="true" outlineLevel="0" collapsed="false">
      <c r="A12" s="8" t="s">
        <v>288</v>
      </c>
      <c r="B12" s="21" t="s">
        <v>289</v>
      </c>
      <c r="C12" s="21" t="s">
        <v>290</v>
      </c>
      <c r="D12" s="22" t="n">
        <f aca="false">1499*12</f>
        <v>17988</v>
      </c>
      <c r="E12" s="21" t="s">
        <v>291</v>
      </c>
      <c r="F12" s="23" t="n">
        <f aca="false">IF(E12="Monthly",IF(ISNUMBER(D12),D12,"TBD"),IF(E12="Annual",IF(ISNUMBER(D12),D12/12,"TBD"),"TBD"))</f>
        <v>1499</v>
      </c>
      <c r="G12" s="21" t="s">
        <v>292</v>
      </c>
      <c r="H12" s="8" t="str">
        <f aca="false">TEXT('Assumptions &amp; Sources'!$C$56,"0%")&amp;" vs monthly plan (INR "&amp;TEXT(ROUND(1499/(1-'Assumptions &amp; Sources'!$C$56),0),"#,##0")&amp;"/month billed monthly)"</f>
        <v>17% vs monthly plan (INR 1,806/month billed monthly)</v>
      </c>
      <c r="I12" s="8" t="s">
        <v>293</v>
      </c>
    </row>
    <row r="13" customFormat="false" ht="33" hidden="false" customHeight="true" outlineLevel="0" collapsed="false">
      <c r="A13" s="10" t="s">
        <v>294</v>
      </c>
      <c r="B13" s="21" t="s">
        <v>295</v>
      </c>
      <c r="C13" s="21" t="s">
        <v>296</v>
      </c>
      <c r="D13" s="22" t="n">
        <f aca="false">5999*12</f>
        <v>71988</v>
      </c>
      <c r="E13" s="21" t="s">
        <v>291</v>
      </c>
      <c r="F13" s="24" t="n">
        <f aca="false">IF(E13="Monthly",IF(ISNUMBER(D13),D13,"TBD"),IF(E13="Annual",IF(ISNUMBER(D13),D13/12,"TBD"),"TBD"))</f>
        <v>5999</v>
      </c>
      <c r="G13" s="21" t="s">
        <v>297</v>
      </c>
      <c r="H13" s="10" t="str">
        <f aca="false">TEXT('Assumptions &amp; Sources'!$C$56,"0%")&amp;" vs monthly plan (INR "&amp;TEXT(ROUND(5999/(1-'Assumptions &amp; Sources'!$C$56),0),"#,##0")&amp;"/month billed monthly)"</f>
        <v>17% vs monthly plan (INR 7,228/month billed monthly)</v>
      </c>
      <c r="I13" s="10" t="s">
        <v>293</v>
      </c>
    </row>
    <row r="14" customFormat="false" ht="33" hidden="false" customHeight="true" outlineLevel="0" collapsed="false">
      <c r="A14" s="8" t="s">
        <v>298</v>
      </c>
      <c r="B14" s="21" t="s">
        <v>299</v>
      </c>
      <c r="C14" s="21" t="s">
        <v>300</v>
      </c>
      <c r="D14" s="22" t="n">
        <f aca="false">14999*12</f>
        <v>179988</v>
      </c>
      <c r="E14" s="21" t="s">
        <v>291</v>
      </c>
      <c r="F14" s="23" t="n">
        <f aca="false">IF(E14="Monthly",IF(ISNUMBER(D14),D14,"TBD"),IF(E14="Annual",IF(ISNUMBER(D14),D14/12,"TBD"),"TBD"))</f>
        <v>14999</v>
      </c>
      <c r="G14" s="21" t="s">
        <v>301</v>
      </c>
      <c r="H14" s="8" t="str">
        <f aca="false">TEXT('Assumptions &amp; Sources'!$C$56,"0%")&amp;" vs monthly plan (INR "&amp;TEXT(ROUND(14999/(1-'Assumptions &amp; Sources'!$C$56),0),"#,##0")&amp;"/month billed monthly)"</f>
        <v>17% vs monthly plan (INR 18,071/month billed monthly)</v>
      </c>
      <c r="I14" s="8" t="s">
        <v>293</v>
      </c>
    </row>
    <row r="16" customFormat="false" ht="24" hidden="false" customHeight="true" outlineLevel="0" collapsed="false">
      <c r="A16" s="11" t="s">
        <v>302</v>
      </c>
      <c r="B16" s="12"/>
      <c r="C16" s="12"/>
      <c r="D16" s="12"/>
      <c r="E16" s="12"/>
      <c r="F16" s="12"/>
      <c r="G16" s="12"/>
      <c r="H16" s="12"/>
      <c r="I16" s="12"/>
    </row>
    <row r="17" customFormat="false" ht="27.75" hidden="false" customHeight="true" outlineLevel="0" collapsed="false">
      <c r="A17" s="6" t="s">
        <v>303</v>
      </c>
      <c r="B17" s="6" t="s">
        <v>304</v>
      </c>
      <c r="C17" s="17"/>
      <c r="D17" s="6" t="s">
        <v>288</v>
      </c>
      <c r="E17" s="6" t="s">
        <v>294</v>
      </c>
      <c r="F17" s="6" t="s">
        <v>298</v>
      </c>
      <c r="G17" s="17"/>
      <c r="H17" s="17"/>
      <c r="I17" s="6" t="s">
        <v>266</v>
      </c>
    </row>
    <row r="18" customFormat="false" ht="33" hidden="false" customHeight="true" outlineLevel="0" collapsed="false">
      <c r="A18" s="8" t="s">
        <v>305</v>
      </c>
      <c r="B18" s="8" t="s">
        <v>306</v>
      </c>
      <c r="C18" s="8"/>
      <c r="D18" s="8" t="s">
        <v>307</v>
      </c>
      <c r="E18" s="8" t="s">
        <v>307</v>
      </c>
      <c r="F18" s="8" t="s">
        <v>307</v>
      </c>
      <c r="G18" s="8"/>
      <c r="H18" s="8"/>
      <c r="I18" s="8" t="s">
        <v>308</v>
      </c>
    </row>
    <row r="19" customFormat="false" ht="33" hidden="false" customHeight="true" outlineLevel="0" collapsed="false">
      <c r="A19" s="10" t="s">
        <v>309</v>
      </c>
      <c r="B19" s="10" t="s">
        <v>310</v>
      </c>
      <c r="C19" s="10"/>
      <c r="D19" s="10" t="s">
        <v>307</v>
      </c>
      <c r="E19" s="10" t="s">
        <v>307</v>
      </c>
      <c r="F19" s="10" t="s">
        <v>307</v>
      </c>
      <c r="G19" s="10"/>
      <c r="H19" s="10"/>
      <c r="I19" s="10" t="s">
        <v>311</v>
      </c>
    </row>
    <row r="20" customFormat="false" ht="33" hidden="false" customHeight="true" outlineLevel="0" collapsed="false">
      <c r="A20" s="8" t="s">
        <v>312</v>
      </c>
      <c r="B20" s="8" t="s">
        <v>313</v>
      </c>
      <c r="C20" s="8"/>
      <c r="D20" s="8" t="s">
        <v>307</v>
      </c>
      <c r="E20" s="8" t="s">
        <v>307</v>
      </c>
      <c r="F20" s="8" t="s">
        <v>307</v>
      </c>
      <c r="G20" s="8"/>
      <c r="H20" s="8"/>
      <c r="I20" s="8" t="s">
        <v>314</v>
      </c>
    </row>
    <row r="21" customFormat="false" ht="33" hidden="false" customHeight="true" outlineLevel="0" collapsed="false">
      <c r="A21" s="10" t="s">
        <v>315</v>
      </c>
      <c r="B21" s="10" t="s">
        <v>316</v>
      </c>
      <c r="C21" s="10"/>
      <c r="D21" s="10" t="s">
        <v>307</v>
      </c>
      <c r="E21" s="10" t="s">
        <v>307</v>
      </c>
      <c r="F21" s="10" t="s">
        <v>307</v>
      </c>
      <c r="G21" s="10"/>
      <c r="H21" s="10"/>
      <c r="I21" s="10" t="s">
        <v>317</v>
      </c>
    </row>
    <row r="22" customFormat="false" ht="33" hidden="false" customHeight="true" outlineLevel="0" collapsed="false">
      <c r="A22" s="8" t="s">
        <v>318</v>
      </c>
      <c r="B22" s="8" t="s">
        <v>319</v>
      </c>
      <c r="C22" s="8"/>
      <c r="D22" s="8" t="s">
        <v>307</v>
      </c>
      <c r="E22" s="8" t="s">
        <v>307</v>
      </c>
      <c r="F22" s="8" t="s">
        <v>307</v>
      </c>
      <c r="G22" s="8"/>
      <c r="H22" s="8"/>
      <c r="I22" s="8" t="s">
        <v>320</v>
      </c>
    </row>
    <row r="23" customFormat="false" ht="20.25" hidden="false" customHeight="true" outlineLevel="0" collapsed="false">
      <c r="A23" s="10" t="s">
        <v>321</v>
      </c>
      <c r="B23" s="10" t="s">
        <v>322</v>
      </c>
      <c r="C23" s="10"/>
      <c r="D23" s="10" t="s">
        <v>323</v>
      </c>
      <c r="E23" s="10" t="s">
        <v>307</v>
      </c>
      <c r="F23" s="10" t="s">
        <v>307</v>
      </c>
      <c r="G23" s="10"/>
      <c r="H23" s="10"/>
      <c r="I23" s="10" t="s">
        <v>324</v>
      </c>
    </row>
    <row r="24" customFormat="false" ht="33" hidden="false" customHeight="true" outlineLevel="0" collapsed="false">
      <c r="A24" s="8" t="s">
        <v>325</v>
      </c>
      <c r="B24" s="8" t="s">
        <v>326</v>
      </c>
      <c r="C24" s="8"/>
      <c r="D24" s="8" t="s">
        <v>307</v>
      </c>
      <c r="E24" s="8" t="s">
        <v>307</v>
      </c>
      <c r="F24" s="8" t="s">
        <v>307</v>
      </c>
      <c r="G24" s="8"/>
      <c r="H24" s="8"/>
      <c r="I24" s="8" t="s">
        <v>327</v>
      </c>
    </row>
    <row r="25" customFormat="false" ht="33" hidden="false" customHeight="true" outlineLevel="0" collapsed="false">
      <c r="A25" s="10" t="s">
        <v>328</v>
      </c>
      <c r="B25" s="10" t="s">
        <v>329</v>
      </c>
      <c r="C25" s="10"/>
      <c r="D25" s="10" t="s">
        <v>307</v>
      </c>
      <c r="E25" s="10" t="s">
        <v>307</v>
      </c>
      <c r="F25" s="10" t="s">
        <v>307</v>
      </c>
      <c r="G25" s="10"/>
      <c r="H25" s="10"/>
      <c r="I25" s="10" t="s">
        <v>330</v>
      </c>
    </row>
    <row r="26" customFormat="false" ht="33" hidden="false" customHeight="true" outlineLevel="0" collapsed="false">
      <c r="A26" s="8" t="s">
        <v>331</v>
      </c>
      <c r="B26" s="8" t="s">
        <v>332</v>
      </c>
      <c r="C26" s="8"/>
      <c r="D26" s="8" t="s">
        <v>307</v>
      </c>
      <c r="E26" s="8" t="s">
        <v>307</v>
      </c>
      <c r="F26" s="8" t="s">
        <v>307</v>
      </c>
      <c r="G26" s="8"/>
      <c r="H26" s="8"/>
      <c r="I26" s="8" t="s">
        <v>333</v>
      </c>
    </row>
    <row r="27" customFormat="false" ht="33" hidden="false" customHeight="true" outlineLevel="0" collapsed="false">
      <c r="A27" s="10" t="s">
        <v>334</v>
      </c>
      <c r="B27" s="10" t="s">
        <v>335</v>
      </c>
      <c r="C27" s="10"/>
      <c r="D27" s="10" t="s">
        <v>307</v>
      </c>
      <c r="E27" s="10" t="s">
        <v>307</v>
      </c>
      <c r="F27" s="10" t="s">
        <v>307</v>
      </c>
      <c r="G27" s="10"/>
      <c r="H27" s="10"/>
      <c r="I27" s="10" t="s">
        <v>336</v>
      </c>
    </row>
    <row r="28" customFormat="false" ht="33" hidden="false" customHeight="true" outlineLevel="0" collapsed="false">
      <c r="A28" s="8" t="s">
        <v>337</v>
      </c>
      <c r="B28" s="8" t="s">
        <v>338</v>
      </c>
      <c r="C28" s="8"/>
      <c r="D28" s="8" t="s">
        <v>307</v>
      </c>
      <c r="E28" s="8" t="s">
        <v>307</v>
      </c>
      <c r="F28" s="8" t="s">
        <v>307</v>
      </c>
      <c r="G28" s="8"/>
      <c r="H28" s="8"/>
      <c r="I28" s="8" t="s">
        <v>339</v>
      </c>
    </row>
    <row r="30" customFormat="false" ht="24" hidden="false" customHeight="true" outlineLevel="0" collapsed="false">
      <c r="A30" s="11" t="s">
        <v>340</v>
      </c>
      <c r="B30" s="12"/>
      <c r="C30" s="12"/>
      <c r="D30" s="12"/>
      <c r="E30" s="12"/>
      <c r="F30" s="12"/>
      <c r="G30" s="12"/>
      <c r="H30" s="12"/>
      <c r="I30" s="12"/>
    </row>
    <row r="31" customFormat="false" ht="27.75" hidden="false" customHeight="true" outlineLevel="0" collapsed="false">
      <c r="A31" s="6" t="s">
        <v>341</v>
      </c>
      <c r="B31" s="6" t="s">
        <v>342</v>
      </c>
      <c r="C31" s="17"/>
      <c r="D31" s="6" t="s">
        <v>343</v>
      </c>
      <c r="E31" s="17"/>
      <c r="F31" s="17"/>
      <c r="G31" s="17"/>
      <c r="H31" s="6" t="s">
        <v>67</v>
      </c>
      <c r="I31" s="6" t="s">
        <v>266</v>
      </c>
    </row>
    <row r="32" customFormat="false" ht="45.75" hidden="false" customHeight="true" outlineLevel="0" collapsed="false">
      <c r="A32" s="8" t="s">
        <v>344</v>
      </c>
      <c r="B32" s="8" t="s">
        <v>345</v>
      </c>
      <c r="C32" s="8"/>
      <c r="D32" s="8" t="s">
        <v>346</v>
      </c>
      <c r="E32" s="8"/>
      <c r="F32" s="8"/>
      <c r="G32" s="8"/>
      <c r="H32" s="8" t="s">
        <v>270</v>
      </c>
      <c r="I32" s="8" t="str">
        <f aca="false">TEXT('Assumptions &amp; Sources'!$C$73,"0.00")&amp;" / "&amp;TEXT('Assumptions &amp; Sources'!$C$74,"#,##0")&amp;" / "&amp;TEXT('Assumptions &amp; Sources'!$C$75,"#,##0")&amp;" INR/month COGS per fleet (Starter / Pro / Enterprise), mostly Qdrant Cloud."</f>
        <v>3.80 / 1,959 / 5,954 INR/month COGS per fleet (Starter / Pro / Enterprise), mostly Qdrant Cloud.</v>
      </c>
    </row>
    <row r="33" customFormat="false" ht="33" hidden="false" customHeight="true" outlineLevel="0" collapsed="false">
      <c r="A33" s="10" t="s">
        <v>347</v>
      </c>
      <c r="B33" s="10" t="s">
        <v>348</v>
      </c>
      <c r="C33" s="10"/>
      <c r="D33" s="10" t="str">
        <f aca="false">"Upgrade: Starter to Pro +INR "&amp;TEXT(F13-F12,"#,##0")&amp;"/mo; Pro to Enterprise +INR "&amp;TEXT(F14-F13,"#,##0")&amp;"/mo"</f>
        <v>Upgrade: Starter to Pro +INR 4,500/mo; Pro to Enterprise +INR 9,000/mo</v>
      </c>
      <c r="E33" s="10"/>
      <c r="F33" s="10"/>
      <c r="G33" s="10"/>
      <c r="H33" s="10" t="s">
        <v>216</v>
      </c>
      <c r="I33" s="10" t="s">
        <v>349</v>
      </c>
    </row>
    <row r="34" customFormat="false" ht="33" hidden="false" customHeight="true" outlineLevel="0" collapsed="false">
      <c r="A34" s="8" t="s">
        <v>350</v>
      </c>
      <c r="B34" s="8" t="s">
        <v>351</v>
      </c>
      <c r="C34" s="8"/>
      <c r="D34" s="8" t="str">
        <f aca="false">TEXT('Assumptions &amp; Sources'!$C$56,"0%")&amp;" for annual prepay; no volume or pilot discount defined"</f>
        <v>17% for annual prepay; no volume or pilot discount defined</v>
      </c>
      <c r="E34" s="8"/>
      <c r="F34" s="8"/>
      <c r="G34" s="8"/>
      <c r="H34" s="8" t="s">
        <v>270</v>
      </c>
      <c r="I34" s="8" t="s">
        <v>352</v>
      </c>
    </row>
    <row r="36" customFormat="false" ht="24" hidden="false" customHeight="true" outlineLevel="0" collapsed="false">
      <c r="A36" s="11" t="s">
        <v>353</v>
      </c>
      <c r="B36" s="12"/>
      <c r="C36" s="12"/>
      <c r="D36" s="12"/>
      <c r="E36" s="12"/>
      <c r="F36" s="12"/>
      <c r="G36" s="12"/>
      <c r="H36" s="12"/>
      <c r="I36" s="12"/>
    </row>
    <row r="37" customFormat="false" ht="27.75" hidden="false" customHeight="true" outlineLevel="0" collapsed="false">
      <c r="A37" s="6" t="s">
        <v>354</v>
      </c>
      <c r="B37" s="6" t="s">
        <v>355</v>
      </c>
      <c r="C37" s="6" t="s">
        <v>307</v>
      </c>
      <c r="D37" s="6" t="s">
        <v>343</v>
      </c>
      <c r="E37" s="6" t="s">
        <v>356</v>
      </c>
      <c r="F37" s="17"/>
      <c r="G37" s="17"/>
      <c r="H37" s="6" t="s">
        <v>357</v>
      </c>
      <c r="I37" s="6" t="s">
        <v>4</v>
      </c>
    </row>
    <row r="38" customFormat="false" ht="33" hidden="false" customHeight="true" outlineLevel="0" collapsed="false">
      <c r="A38" s="8" t="s">
        <v>358</v>
      </c>
      <c r="B38" s="8" t="s">
        <v>359</v>
      </c>
      <c r="C38" s="8" t="s">
        <v>360</v>
      </c>
      <c r="D38" s="25" t="n">
        <v>0</v>
      </c>
      <c r="E38" s="8" t="s">
        <v>361</v>
      </c>
      <c r="F38" s="8"/>
      <c r="G38" s="8"/>
      <c r="H38" s="8" t="s">
        <v>362</v>
      </c>
      <c r="I38" s="8" t="s">
        <v>363</v>
      </c>
    </row>
    <row r="39" customFormat="false" ht="33" hidden="false" customHeight="true" outlineLevel="0" collapsed="false">
      <c r="A39" s="10" t="s">
        <v>364</v>
      </c>
      <c r="B39" s="10" t="s">
        <v>359</v>
      </c>
      <c r="C39" s="10" t="s">
        <v>365</v>
      </c>
      <c r="D39" s="26" t="n">
        <v>4.99</v>
      </c>
      <c r="E39" s="10" t="s">
        <v>361</v>
      </c>
      <c r="F39" s="10"/>
      <c r="G39" s="10"/>
      <c r="H39" s="10" t="s">
        <v>362</v>
      </c>
      <c r="I39" s="10" t="s">
        <v>363</v>
      </c>
    </row>
    <row r="40" customFormat="false" ht="33" hidden="false" customHeight="true" outlineLevel="0" collapsed="false">
      <c r="A40" s="8" t="s">
        <v>366</v>
      </c>
      <c r="B40" s="8" t="s">
        <v>359</v>
      </c>
      <c r="C40" s="8" t="s">
        <v>367</v>
      </c>
      <c r="D40" s="25" t="n">
        <v>24.92</v>
      </c>
      <c r="E40" s="8" t="s">
        <v>361</v>
      </c>
      <c r="F40" s="8"/>
      <c r="G40" s="8"/>
      <c r="H40" s="8" t="s">
        <v>362</v>
      </c>
      <c r="I40" s="8" t="s">
        <v>363</v>
      </c>
    </row>
    <row r="41" customFormat="false" ht="33" hidden="false" customHeight="true" outlineLevel="0" collapsed="false">
      <c r="A41" s="10" t="s">
        <v>368</v>
      </c>
      <c r="B41" s="10" t="s">
        <v>359</v>
      </c>
      <c r="C41" s="10" t="s">
        <v>369</v>
      </c>
      <c r="D41" s="26" t="n">
        <v>416.58</v>
      </c>
      <c r="E41" s="10" t="s">
        <v>361</v>
      </c>
      <c r="F41" s="10"/>
      <c r="G41" s="10"/>
      <c r="H41" s="10" t="s">
        <v>362</v>
      </c>
      <c r="I41" s="10" t="s">
        <v>363</v>
      </c>
    </row>
    <row r="42" customFormat="false" ht="33" hidden="false" customHeight="true" outlineLevel="0" collapsed="false">
      <c r="A42" s="8" t="s">
        <v>370</v>
      </c>
      <c r="B42" s="8" t="s">
        <v>371</v>
      </c>
      <c r="C42" s="8" t="s">
        <v>372</v>
      </c>
      <c r="D42" s="25" t="n">
        <v>0</v>
      </c>
      <c r="E42" s="8" t="s">
        <v>361</v>
      </c>
      <c r="F42" s="8"/>
      <c r="G42" s="8"/>
      <c r="H42" s="8" t="s">
        <v>362</v>
      </c>
      <c r="I42" s="8" t="s">
        <v>373</v>
      </c>
    </row>
    <row r="43" customFormat="false" ht="33" hidden="false" customHeight="true" outlineLevel="0" collapsed="false">
      <c r="A43" s="10" t="s">
        <v>374</v>
      </c>
      <c r="B43" s="10" t="s">
        <v>375</v>
      </c>
      <c r="C43" s="10" t="s">
        <v>376</v>
      </c>
      <c r="D43" s="26" t="s">
        <v>377</v>
      </c>
      <c r="E43" s="10"/>
      <c r="F43" s="10"/>
      <c r="G43" s="10"/>
      <c r="H43" s="10" t="s">
        <v>378</v>
      </c>
      <c r="I43" s="10" t="s">
        <v>379</v>
      </c>
    </row>
    <row r="44" customFormat="false" ht="33" hidden="false" customHeight="true" outlineLevel="0" collapsed="false">
      <c r="A44" s="8" t="s">
        <v>380</v>
      </c>
      <c r="B44" s="8" t="s">
        <v>381</v>
      </c>
      <c r="C44" s="8" t="s">
        <v>382</v>
      </c>
      <c r="D44" s="25" t="s">
        <v>377</v>
      </c>
      <c r="E44" s="8"/>
      <c r="F44" s="8"/>
      <c r="G44" s="8"/>
      <c r="H44" s="8" t="s">
        <v>383</v>
      </c>
      <c r="I44" s="8" t="s">
        <v>384</v>
      </c>
    </row>
    <row r="46" customFormat="false" ht="24" hidden="false" customHeight="true" outlineLevel="0" collapsed="false">
      <c r="A46" s="11" t="s">
        <v>385</v>
      </c>
      <c r="B46" s="12"/>
      <c r="C46" s="12"/>
      <c r="D46" s="12"/>
      <c r="E46" s="12"/>
      <c r="F46" s="12"/>
      <c r="G46" s="12"/>
      <c r="H46" s="12"/>
      <c r="I46" s="12"/>
    </row>
    <row r="47" customFormat="false" ht="27.75" hidden="false" customHeight="true" outlineLevel="0" collapsed="false">
      <c r="A47" s="6" t="s">
        <v>386</v>
      </c>
      <c r="B47" s="6" t="s">
        <v>387</v>
      </c>
      <c r="C47" s="17"/>
      <c r="D47" s="17"/>
      <c r="E47" s="17"/>
      <c r="F47" s="17"/>
      <c r="G47" s="17"/>
      <c r="H47" s="17"/>
      <c r="I47" s="6" t="s">
        <v>31</v>
      </c>
    </row>
    <row r="48" customFormat="false" ht="20.25" hidden="false" customHeight="true" outlineLevel="0" collapsed="false">
      <c r="A48" s="8" t="s">
        <v>388</v>
      </c>
      <c r="B48" s="8" t="str">
        <f aca="false">IF(ISBLANK(B6),"Not chosen","Chosen: "&amp;B6)</f>
        <v>Chosen: Per fleet</v>
      </c>
      <c r="C48" s="8"/>
      <c r="D48" s="8"/>
      <c r="E48" s="8"/>
      <c r="F48" s="8"/>
      <c r="G48" s="8"/>
      <c r="H48" s="8"/>
      <c r="I48" s="8" t="s">
        <v>389</v>
      </c>
    </row>
    <row r="49" customFormat="false" ht="33" hidden="false" customHeight="true" outlineLevel="0" collapsed="false">
      <c r="A49" s="10" t="s">
        <v>390</v>
      </c>
      <c r="B49" s="10" t="str">
        <f aca="false">COUNT(F12:F14)&amp;" of 3"</f>
        <v>3 of 3</v>
      </c>
      <c r="C49" s="10"/>
      <c r="D49" s="10"/>
      <c r="E49" s="10"/>
      <c r="F49" s="10"/>
      <c r="G49" s="10"/>
      <c r="H49" s="10"/>
      <c r="I49" s="10" t="s">
        <v>391</v>
      </c>
    </row>
    <row r="50" customFormat="false" ht="20.25" hidden="false" customHeight="true" outlineLevel="0" collapsed="false">
      <c r="A50" s="8" t="s">
        <v>392</v>
      </c>
      <c r="B50" s="8" t="str">
        <f aca="false">COUNTIF(D18:F28,"TBD")&amp;" of "&amp;COUNTA(D18:F28)&amp;" still TBD"</f>
        <v>0 of 33 still TBD</v>
      </c>
      <c r="C50" s="8"/>
      <c r="D50" s="8"/>
      <c r="E50" s="8"/>
      <c r="F50" s="8"/>
      <c r="G50" s="8"/>
      <c r="H50" s="8"/>
      <c r="I50" s="8" t="s">
        <v>393</v>
      </c>
    </row>
    <row r="51" customFormat="false" ht="33" hidden="false" customHeight="true" outlineLevel="0" collapsed="false">
      <c r="A51" s="10" t="s">
        <v>394</v>
      </c>
      <c r="B51" s="10" t="str">
        <f aca="false">IF(OR(B8="Hosted",B8="Both"),"CONFLICT: PRD lists multi-tenant SaaS as a non-goal","OK / undecided")</f>
        <v>CONFLICT: PRD lists multi-tenant SaaS as a non-goal</v>
      </c>
      <c r="C51" s="10"/>
      <c r="D51" s="10"/>
      <c r="E51" s="10"/>
      <c r="F51" s="10"/>
      <c r="G51" s="10"/>
      <c r="H51" s="10"/>
      <c r="I51" s="10" t="s">
        <v>395</v>
      </c>
    </row>
  </sheetData>
  <mergeCells count="1">
    <mergeCell ref="A2:I2"/>
  </mergeCells>
  <conditionalFormatting sqref="F12:F14">
    <cfRule type="cellIs" priority="2" operator="equal" aboveAverage="0" equalAverage="0" bottom="0" percent="0" rank="0" text="" dxfId="0">
      <formula>"TBD"</formula>
    </cfRule>
  </conditionalFormatting>
  <conditionalFormatting sqref="D18:F28">
    <cfRule type="cellIs" priority="3" operator="equal" aboveAverage="0" equalAverage="0" bottom="0" percent="0" rank="0" text="" dxfId="0">
      <formula>"TBD"</formula>
    </cfRule>
  </conditionalFormatting>
  <conditionalFormatting sqref="D32:D34">
    <cfRule type="cellIs" priority="4" operator="equal" aboveAverage="0" equalAverage="0" bottom="0" percent="0" rank="0" text="" dxfId="0">
      <formula>"TBD"</formula>
    </cfRule>
  </conditionalFormatting>
  <conditionalFormatting sqref="D38:D44">
    <cfRule type="cellIs" priority="5" operator="equal" aboveAverage="0" equalAverage="0" bottom="0" percent="0" rank="0" text="" dxfId="0">
      <formula>"TBD"</formula>
    </cfRule>
  </conditionalFormatting>
  <dataValidations count="6">
    <dataValidation allowBlank="true" errorStyle="stop" operator="between" showDropDown="false" showErrorMessage="false" showInputMessage="false" sqref="B6" type="list">
      <formula1>"Per device,Per synced GB,Per fleet,Other"</formula1>
      <formula2>0</formula2>
    </dataValidation>
    <dataValidation allowBlank="true" errorStyle="stop" operator="between" showDropDown="false" showErrorMessage="false" showInputMessage="false" sqref="B7" type="list">
      <formula1>"Yes,No"</formula1>
      <formula2>0</formula2>
    </dataValidation>
    <dataValidation allowBlank="true" errorStyle="stop" operator="between" showDropDown="false" showErrorMessage="false" showInputMessage="false" sqref="B8" type="list">
      <formula1>"Self-hosted,Hosted,Both"</formula1>
      <formula2>0</formula2>
    </dataValidation>
    <dataValidation allowBlank="true" errorStyle="stop" operator="between" showDropDown="false" showErrorMessage="false" showInputMessage="false" sqref="E12:E14" type="list">
      <formula1>"Monthly,Annual"</formula1>
      <formula2>0</formula2>
    </dataValidation>
    <dataValidation allowBlank="true" errorStyle="stop" operator="greaterThanOrEqual" showDropDown="false" showErrorMessage="false" showInputMessage="false" sqref="D12:D14" type="decimal">
      <formula1>0</formula1>
      <formula2>0</formula2>
    </dataValidation>
    <dataValidation allowBlank="false" errorStyle="stop" operator="between" showDropDown="false" showErrorMessage="false" showInputMessage="false" sqref="D18:F28" type="list">
      <formula1>"Included,Add-on,Not included,TBD"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05555555556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&amp;K64748bEDGE.MEM · GTM Pricing&amp;C&amp;8 &amp;K64748b&amp;A&amp;R&amp;8 &amp;K64748bPage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47857"/>
    <pageSetUpPr fitToPage="true"/>
  </sheetPr>
  <dimension ref="A1:Z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2" topLeftCell="C23" activePane="bottomRight" state="frozen"/>
      <selection pane="topLeft" activeCell="A1" activeCellId="0" sqref="A1"/>
      <selection pane="topRight" activeCell="C1" activeCellId="0" sqref="C1"/>
      <selection pane="bottomLeft" activeCell="A23" activeCellId="0" sqref="A23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24"/>
    <col collapsed="false" customWidth="true" hidden="false" outlineLevel="0" max="26" min="3" style="1" width="11"/>
  </cols>
  <sheetData>
    <row r="1" customFormat="false" ht="36" hidden="false" customHeight="true" outlineLevel="0" collapsed="false">
      <c r="A1" s="2" t="s">
        <v>396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customFormat="false" ht="24.75" hidden="false" customHeight="true" outlineLevel="0" collapsed="false">
      <c r="A2" s="4" t="s">
        <v>397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customFormat="false" ht="3.75" hidden="false" customHeight="true" outlineLevel="0" collapsed="false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customFormat="false" ht="31.5" hidden="false" customHeight="true" outlineLevel="0" collapsed="false">
      <c r="A4" s="27" t="s">
        <v>398</v>
      </c>
      <c r="B4" s="27" t="str">
        <f aca="false">'Assumptions &amp; Sources'!$C$15</f>
        <v>Complete</v>
      </c>
      <c r="C4" s="28" t="s">
        <v>399</v>
      </c>
      <c r="D4" s="28"/>
      <c r="E4" s="28"/>
      <c r="F4" s="28"/>
      <c r="G4" s="28"/>
      <c r="H4" s="28"/>
      <c r="I4" s="28"/>
      <c r="J4" s="28"/>
      <c r="K4" s="28"/>
      <c r="L4" s="28"/>
    </row>
    <row r="5" customFormat="false" ht="20.25" hidden="false" customHeight="true" outlineLevel="0" collapsed="false">
      <c r="A5" s="7" t="s">
        <v>400</v>
      </c>
      <c r="B5" s="29" t="str">
        <f aca="false">IF(ISBLANK(Pricing!$B$6),"TBD",Pricing!$B$6)</f>
        <v>Per fleet</v>
      </c>
    </row>
    <row r="6" customFormat="false" ht="20.25" hidden="false" customHeight="true" outlineLevel="0" collapsed="false">
      <c r="A6" s="9" t="s">
        <v>401</v>
      </c>
      <c r="B6" s="30" t="str">
        <f aca="false">'Assumptions &amp; Sources'!$C$6</f>
        <v>INR</v>
      </c>
    </row>
    <row r="8" customFormat="false" ht="24" hidden="false" customHeight="true" outlineLevel="0" collapsed="false">
      <c r="A8" s="11" t="s">
        <v>402</v>
      </c>
      <c r="B8" s="12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</row>
    <row r="9" customFormat="false" ht="20.25" hidden="false" customHeight="true" outlineLevel="0" collapsed="false">
      <c r="A9" s="8" t="s">
        <v>403</v>
      </c>
      <c r="B9" s="31" t="n">
        <f aca="false">IF(ISBLANK('Assumptions &amp; Sources'!$C$7),"TBD",'Assumptions &amp; Sources'!$C$7)</f>
        <v>0</v>
      </c>
    </row>
    <row r="10" customFormat="false" ht="20.25" hidden="false" customHeight="true" outlineLevel="0" collapsed="false">
      <c r="A10" s="10" t="s">
        <v>404</v>
      </c>
      <c r="B10" s="32" t="n">
        <f aca="false">IF(ISBLANK('Assumptions &amp; Sources'!$C$8),"TBD",'Assumptions &amp; Sources'!$C$8)</f>
        <v>4.64504264961173</v>
      </c>
    </row>
    <row r="11" customFormat="false" ht="20.25" hidden="false" customHeight="true" outlineLevel="0" collapsed="false">
      <c r="A11" s="8" t="s">
        <v>405</v>
      </c>
      <c r="B11" s="33" t="n">
        <f aca="false">IF(ISBLANK('Assumptions &amp; Sources'!$C$9),"TBD",'Assumptions &amp; Sources'!$C$9)</f>
        <v>0.02</v>
      </c>
    </row>
    <row r="12" customFormat="false" ht="20.25" hidden="false" customHeight="true" outlineLevel="0" collapsed="false">
      <c r="A12" s="10" t="s">
        <v>406</v>
      </c>
      <c r="B12" s="32" t="n">
        <f aca="false">IF(ISBLANK('Assumptions &amp; Sources'!$C$10),"TBD",'Assumptions &amp; Sources'!$C$10)</f>
        <v>1</v>
      </c>
    </row>
    <row r="13" customFormat="false" ht="33" hidden="false" customHeight="true" outlineLevel="0" collapsed="false">
      <c r="A13" s="8" t="s">
        <v>407</v>
      </c>
      <c r="B13" s="33" t="n">
        <f aca="false">IF(ISBLANK('Assumptions &amp; Sources'!$C$11),"TBD",'Assumptions &amp; Sources'!$C$11)</f>
        <v>0</v>
      </c>
    </row>
    <row r="14" customFormat="false" ht="20.25" hidden="false" customHeight="true" outlineLevel="0" collapsed="false">
      <c r="A14" s="10" t="s">
        <v>408</v>
      </c>
      <c r="B14" s="34" t="n">
        <f aca="false">IF(ISBLANK('Assumptions &amp; Sources'!$C$12),"TBD",'Assumptions &amp; Sources'!$C$12)</f>
        <v>0.6</v>
      </c>
    </row>
    <row r="15" customFormat="false" ht="20.25" hidden="false" customHeight="true" outlineLevel="0" collapsed="false">
      <c r="A15" s="8" t="s">
        <v>409</v>
      </c>
      <c r="B15" s="33" t="n">
        <f aca="false">IF(ISBLANK('Assumptions &amp; Sources'!$C$13),"TBD",'Assumptions &amp; Sources'!$C$13)</f>
        <v>0.3</v>
      </c>
    </row>
    <row r="16" customFormat="false" ht="20.25" hidden="false" customHeight="true" outlineLevel="0" collapsed="false">
      <c r="A16" s="10" t="s">
        <v>410</v>
      </c>
      <c r="B16" s="34" t="n">
        <f aca="false">IF(ISBLANK('Assumptions &amp; Sources'!$C$14),"TBD",'Assumptions &amp; Sources'!$C$14)</f>
        <v>0.1</v>
      </c>
    </row>
    <row r="17" customFormat="false" ht="20.25" hidden="false" customHeight="true" outlineLevel="0" collapsed="false">
      <c r="A17" s="8" t="s">
        <v>411</v>
      </c>
      <c r="B17" s="35" t="n">
        <f aca="false">Pricing!$F$12</f>
        <v>1499</v>
      </c>
    </row>
    <row r="18" customFormat="false" ht="20.25" hidden="false" customHeight="true" outlineLevel="0" collapsed="false">
      <c r="A18" s="10" t="s">
        <v>412</v>
      </c>
      <c r="B18" s="36" t="n">
        <f aca="false">Pricing!$F$13</f>
        <v>5999</v>
      </c>
    </row>
    <row r="19" customFormat="false" ht="20.25" hidden="false" customHeight="true" outlineLevel="0" collapsed="false">
      <c r="A19" s="8" t="s">
        <v>413</v>
      </c>
      <c r="B19" s="35" t="n">
        <f aca="false">Pricing!$F$14</f>
        <v>14999</v>
      </c>
    </row>
    <row r="21" customFormat="false" ht="24" hidden="false" customHeight="true" outlineLevel="0" collapsed="false">
      <c r="A21" s="11" t="s">
        <v>414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 customFormat="false" ht="27.75" hidden="false" customHeight="true" outlineLevel="0" collapsed="false">
      <c r="A22" s="37" t="s">
        <v>415</v>
      </c>
      <c r="B22" s="37" t="s">
        <v>356</v>
      </c>
      <c r="C22" s="38" t="s">
        <v>416</v>
      </c>
      <c r="D22" s="38" t="s">
        <v>417</v>
      </c>
      <c r="E22" s="38" t="s">
        <v>418</v>
      </c>
      <c r="F22" s="38" t="s">
        <v>419</v>
      </c>
      <c r="G22" s="38" t="s">
        <v>420</v>
      </c>
      <c r="H22" s="38" t="s">
        <v>421</v>
      </c>
      <c r="I22" s="38" t="s">
        <v>422</v>
      </c>
      <c r="J22" s="38" t="s">
        <v>423</v>
      </c>
      <c r="K22" s="38" t="s">
        <v>424</v>
      </c>
      <c r="L22" s="38" t="s">
        <v>425</v>
      </c>
      <c r="M22" s="38" t="s">
        <v>426</v>
      </c>
      <c r="N22" s="38" t="s">
        <v>427</v>
      </c>
      <c r="O22" s="38" t="s">
        <v>428</v>
      </c>
      <c r="P22" s="38" t="s">
        <v>429</v>
      </c>
      <c r="Q22" s="38" t="s">
        <v>430</v>
      </c>
      <c r="R22" s="38" t="s">
        <v>431</v>
      </c>
      <c r="S22" s="38" t="s">
        <v>432</v>
      </c>
      <c r="T22" s="38" t="s">
        <v>433</v>
      </c>
      <c r="U22" s="38" t="s">
        <v>434</v>
      </c>
      <c r="V22" s="38" t="s">
        <v>435</v>
      </c>
      <c r="W22" s="38" t="s">
        <v>436</v>
      </c>
      <c r="X22" s="38" t="s">
        <v>437</v>
      </c>
      <c r="Y22" s="38" t="s">
        <v>438</v>
      </c>
      <c r="Z22" s="38" t="s">
        <v>439</v>
      </c>
    </row>
    <row r="23" customFormat="false" ht="20.25" hidden="false" customHeight="true" outlineLevel="0" collapsed="false">
      <c r="A23" s="8" t="s">
        <v>440</v>
      </c>
      <c r="B23" s="39" t="s">
        <v>441</v>
      </c>
      <c r="C23" s="40" t="n">
        <f aca="false">IF($B$4&lt;&gt;"Complete","TBD",$B$9)</f>
        <v>0</v>
      </c>
      <c r="D23" s="40" t="n">
        <f aca="false">IF($B$4&lt;&gt;"Complete","TBD",C26)</f>
        <v>4.64504264961173</v>
      </c>
      <c r="E23" s="40" t="n">
        <f aca="false">IF($B$4&lt;&gt;"Complete","TBD",D26)</f>
        <v>9.19718444623123</v>
      </c>
      <c r="F23" s="40" t="n">
        <f aca="false">IF($B$4&lt;&gt;"Complete","TBD",E26)</f>
        <v>13.6582834069183</v>
      </c>
      <c r="G23" s="40" t="n">
        <f aca="false">IF($B$4&lt;&gt;"Complete","TBD",F26)</f>
        <v>18.0301603883917</v>
      </c>
      <c r="H23" s="40" t="n">
        <f aca="false">IF($B$4&lt;&gt;"Complete","TBD",G26)</f>
        <v>22.3145998302356</v>
      </c>
      <c r="I23" s="40" t="n">
        <f aca="false">IF($B$4&lt;&gt;"Complete","TBD",H26)</f>
        <v>26.5133504832426</v>
      </c>
      <c r="J23" s="40" t="n">
        <f aca="false">IF($B$4&lt;&gt;"Complete","TBD",I26)</f>
        <v>30.6281261231895</v>
      </c>
      <c r="K23" s="40" t="n">
        <f aca="false">IF($B$4&lt;&gt;"Complete","TBD",J26)</f>
        <v>34.6606062503374</v>
      </c>
      <c r="L23" s="40" t="n">
        <f aca="false">IF($B$4&lt;&gt;"Complete","TBD",K26)</f>
        <v>38.6124367749424</v>
      </c>
      <c r="M23" s="40" t="n">
        <f aca="false">IF($B$4&lt;&gt;"Complete","TBD",L26)</f>
        <v>42.4852306890553</v>
      </c>
      <c r="N23" s="40" t="n">
        <f aca="false">IF($B$4&lt;&gt;"Complete","TBD",M26)</f>
        <v>46.2805687248859</v>
      </c>
      <c r="O23" s="40" t="n">
        <f aca="false">IF($B$4&lt;&gt;"Complete","TBD",N26)</f>
        <v>49.9999999999999</v>
      </c>
      <c r="P23" s="40" t="n">
        <f aca="false">IF($B$4&lt;&gt;"Complete","TBD",O26)</f>
        <v>53.6450426496117</v>
      </c>
      <c r="Q23" s="40" t="n">
        <f aca="false">IF($B$4&lt;&gt;"Complete","TBD",P26)</f>
        <v>57.2171844462312</v>
      </c>
      <c r="R23" s="40" t="n">
        <f aca="false">IF($B$4&lt;&gt;"Complete","TBD",Q26)</f>
        <v>60.7178834069183</v>
      </c>
      <c r="S23" s="40" t="n">
        <f aca="false">IF($B$4&lt;&gt;"Complete","TBD",R26)</f>
        <v>64.1485683883917</v>
      </c>
      <c r="T23" s="40" t="n">
        <f aca="false">IF($B$4&lt;&gt;"Complete","TBD",S26)</f>
        <v>67.5106396702356</v>
      </c>
      <c r="U23" s="40" t="n">
        <f aca="false">IF($B$4&lt;&gt;"Complete","TBD",T26)</f>
        <v>70.8054695264426</v>
      </c>
      <c r="V23" s="40" t="n">
        <f aca="false">IF($B$4&lt;&gt;"Complete","TBD",U26)</f>
        <v>74.0344027855255</v>
      </c>
      <c r="W23" s="40" t="n">
        <f aca="false">IF($B$4&lt;&gt;"Complete","TBD",V26)</f>
        <v>77.1987573794267</v>
      </c>
      <c r="X23" s="40" t="n">
        <f aca="false">IF($B$4&lt;&gt;"Complete","TBD",W26)</f>
        <v>80.2998248814499</v>
      </c>
      <c r="Y23" s="40" t="n">
        <f aca="false">IF($B$4&lt;&gt;"Complete","TBD",X26)</f>
        <v>83.3388710334327</v>
      </c>
      <c r="Z23" s="40" t="n">
        <f aca="false">IF($B$4&lt;&gt;"Complete","TBD",Y26)</f>
        <v>86.3171362623757</v>
      </c>
    </row>
    <row r="24" customFormat="false" ht="20.25" hidden="false" customHeight="true" outlineLevel="0" collapsed="false">
      <c r="A24" s="10" t="s">
        <v>442</v>
      </c>
      <c r="B24" s="41" t="s">
        <v>441</v>
      </c>
      <c r="C24" s="42" t="n">
        <f aca="false">IF($B$4&lt;&gt;"Complete","TBD",$B$10)</f>
        <v>4.64504264961173</v>
      </c>
      <c r="D24" s="42" t="n">
        <f aca="false">IF($B$4&lt;&gt;"Complete","TBD",$B$10)</f>
        <v>4.64504264961173</v>
      </c>
      <c r="E24" s="42" t="n">
        <f aca="false">IF($B$4&lt;&gt;"Complete","TBD",$B$10)</f>
        <v>4.64504264961173</v>
      </c>
      <c r="F24" s="42" t="n">
        <f aca="false">IF($B$4&lt;&gt;"Complete","TBD",$B$10)</f>
        <v>4.64504264961173</v>
      </c>
      <c r="G24" s="42" t="n">
        <f aca="false">IF($B$4&lt;&gt;"Complete","TBD",$B$10)</f>
        <v>4.64504264961173</v>
      </c>
      <c r="H24" s="42" t="n">
        <f aca="false">IF($B$4&lt;&gt;"Complete","TBD",$B$10)</f>
        <v>4.64504264961173</v>
      </c>
      <c r="I24" s="42" t="n">
        <f aca="false">IF($B$4&lt;&gt;"Complete","TBD",$B$10)</f>
        <v>4.64504264961173</v>
      </c>
      <c r="J24" s="42" t="n">
        <f aca="false">IF($B$4&lt;&gt;"Complete","TBD",$B$10)</f>
        <v>4.64504264961173</v>
      </c>
      <c r="K24" s="42" t="n">
        <f aca="false">IF($B$4&lt;&gt;"Complete","TBD",$B$10)</f>
        <v>4.64504264961173</v>
      </c>
      <c r="L24" s="42" t="n">
        <f aca="false">IF($B$4&lt;&gt;"Complete","TBD",$B$10)</f>
        <v>4.64504264961173</v>
      </c>
      <c r="M24" s="42" t="n">
        <f aca="false">IF($B$4&lt;&gt;"Complete","TBD",$B$10)</f>
        <v>4.64504264961173</v>
      </c>
      <c r="N24" s="42" t="n">
        <f aca="false">IF($B$4&lt;&gt;"Complete","TBD",$B$10)</f>
        <v>4.64504264961173</v>
      </c>
      <c r="O24" s="42" t="n">
        <f aca="false">IF($B$4&lt;&gt;"Complete","TBD",$B$10)</f>
        <v>4.64504264961173</v>
      </c>
      <c r="P24" s="42" t="n">
        <f aca="false">IF($B$4&lt;&gt;"Complete","TBD",$B$10)</f>
        <v>4.64504264961173</v>
      </c>
      <c r="Q24" s="42" t="n">
        <f aca="false">IF($B$4&lt;&gt;"Complete","TBD",$B$10)</f>
        <v>4.64504264961173</v>
      </c>
      <c r="R24" s="42" t="n">
        <f aca="false">IF($B$4&lt;&gt;"Complete","TBD",$B$10)</f>
        <v>4.64504264961173</v>
      </c>
      <c r="S24" s="42" t="n">
        <f aca="false">IF($B$4&lt;&gt;"Complete","TBD",$B$10)</f>
        <v>4.64504264961173</v>
      </c>
      <c r="T24" s="42" t="n">
        <f aca="false">IF($B$4&lt;&gt;"Complete","TBD",$B$10)</f>
        <v>4.64504264961173</v>
      </c>
      <c r="U24" s="42" t="n">
        <f aca="false">IF($B$4&lt;&gt;"Complete","TBD",$B$10)</f>
        <v>4.64504264961173</v>
      </c>
      <c r="V24" s="42" t="n">
        <f aca="false">IF($B$4&lt;&gt;"Complete","TBD",$B$10)</f>
        <v>4.64504264961173</v>
      </c>
      <c r="W24" s="42" t="n">
        <f aca="false">IF($B$4&lt;&gt;"Complete","TBD",$B$10)</f>
        <v>4.64504264961173</v>
      </c>
      <c r="X24" s="42" t="n">
        <f aca="false">IF($B$4&lt;&gt;"Complete","TBD",$B$10)</f>
        <v>4.64504264961173</v>
      </c>
      <c r="Y24" s="42" t="n">
        <f aca="false">IF($B$4&lt;&gt;"Complete","TBD",$B$10)</f>
        <v>4.64504264961173</v>
      </c>
      <c r="Z24" s="42" t="n">
        <f aca="false">IF($B$4&lt;&gt;"Complete","TBD",$B$10)</f>
        <v>4.64504264961173</v>
      </c>
    </row>
    <row r="25" customFormat="false" ht="20.25" hidden="false" customHeight="true" outlineLevel="0" collapsed="false">
      <c r="A25" s="8" t="s">
        <v>443</v>
      </c>
      <c r="B25" s="39" t="s">
        <v>441</v>
      </c>
      <c r="C25" s="40" t="n">
        <f aca="false">IF($B$4&lt;&gt;"Complete","TBD",C23*$B$11)</f>
        <v>0</v>
      </c>
      <c r="D25" s="40" t="n">
        <f aca="false">IF($B$4&lt;&gt;"Complete","TBD",D23*$B$11)</f>
        <v>0.0929008529922347</v>
      </c>
      <c r="E25" s="40" t="n">
        <f aca="false">IF($B$4&lt;&gt;"Complete","TBD",E23*$B$11)</f>
        <v>0.183943688924625</v>
      </c>
      <c r="F25" s="40" t="n">
        <f aca="false">IF($B$4&lt;&gt;"Complete","TBD",F23*$B$11)</f>
        <v>0.273165668138367</v>
      </c>
      <c r="G25" s="40" t="n">
        <f aca="false">IF($B$4&lt;&gt;"Complete","TBD",G23*$B$11)</f>
        <v>0.360603207767834</v>
      </c>
      <c r="H25" s="40" t="n">
        <f aca="false">IF($B$4&lt;&gt;"Complete","TBD",H23*$B$11)</f>
        <v>0.446291996604712</v>
      </c>
      <c r="I25" s="40" t="n">
        <f aca="false">IF($B$4&lt;&gt;"Complete","TBD",I23*$B$11)</f>
        <v>0.530267009664852</v>
      </c>
      <c r="J25" s="40" t="n">
        <f aca="false">IF($B$4&lt;&gt;"Complete","TBD",J23*$B$11)</f>
        <v>0.61256252246379</v>
      </c>
      <c r="K25" s="40" t="n">
        <f aca="false">IF($B$4&lt;&gt;"Complete","TBD",K23*$B$11)</f>
        <v>0.693212125006749</v>
      </c>
      <c r="L25" s="40" t="n">
        <f aca="false">IF($B$4&lt;&gt;"Complete","TBD",L23*$B$11)</f>
        <v>0.772248735498849</v>
      </c>
      <c r="M25" s="40" t="n">
        <f aca="false">IF($B$4&lt;&gt;"Complete","TBD",M23*$B$11)</f>
        <v>0.849704613781106</v>
      </c>
      <c r="N25" s="40" t="n">
        <f aca="false">IF($B$4&lt;&gt;"Complete","TBD",N23*$B$11)</f>
        <v>0.925611374497719</v>
      </c>
      <c r="O25" s="40" t="n">
        <f aca="false">IF($B$4&lt;&gt;"Complete","TBD",O23*$B$11)</f>
        <v>0.999999999999999</v>
      </c>
      <c r="P25" s="40" t="n">
        <f aca="false">IF($B$4&lt;&gt;"Complete","TBD",P23*$B$11)</f>
        <v>1.07290085299223</v>
      </c>
      <c r="Q25" s="40" t="n">
        <f aca="false">IF($B$4&lt;&gt;"Complete","TBD",Q23*$B$11)</f>
        <v>1.14434368892462</v>
      </c>
      <c r="R25" s="40" t="n">
        <f aca="false">IF($B$4&lt;&gt;"Complete","TBD",R23*$B$11)</f>
        <v>1.21435766813837</v>
      </c>
      <c r="S25" s="40" t="n">
        <f aca="false">IF($B$4&lt;&gt;"Complete","TBD",S23*$B$11)</f>
        <v>1.28297136776783</v>
      </c>
      <c r="T25" s="40" t="n">
        <f aca="false">IF($B$4&lt;&gt;"Complete","TBD",T23*$B$11)</f>
        <v>1.35021279340471</v>
      </c>
      <c r="U25" s="40" t="n">
        <f aca="false">IF($B$4&lt;&gt;"Complete","TBD",U23*$B$11)</f>
        <v>1.41610939052885</v>
      </c>
      <c r="V25" s="40" t="n">
        <f aca="false">IF($B$4&lt;&gt;"Complete","TBD",V23*$B$11)</f>
        <v>1.48068805571051</v>
      </c>
      <c r="W25" s="40" t="n">
        <f aca="false">IF($B$4&lt;&gt;"Complete","TBD",W23*$B$11)</f>
        <v>1.54397514758853</v>
      </c>
      <c r="X25" s="40" t="n">
        <f aca="false">IF($B$4&lt;&gt;"Complete","TBD",X23*$B$11)</f>
        <v>1.605996497629</v>
      </c>
      <c r="Y25" s="40" t="n">
        <f aca="false">IF($B$4&lt;&gt;"Complete","TBD",Y23*$B$11)</f>
        <v>1.66677742066865</v>
      </c>
      <c r="Z25" s="40" t="n">
        <f aca="false">IF($B$4&lt;&gt;"Complete","TBD",Z23*$B$11)</f>
        <v>1.72634272524751</v>
      </c>
    </row>
    <row r="26" customFormat="false" ht="20.25" hidden="false" customHeight="true" outlineLevel="0" collapsed="false">
      <c r="A26" s="43" t="s">
        <v>444</v>
      </c>
      <c r="B26" s="44" t="s">
        <v>441</v>
      </c>
      <c r="C26" s="45" t="n">
        <f aca="false">IF($B$4&lt;&gt;"Complete","TBD",C23+C24-C25)</f>
        <v>4.64504264961173</v>
      </c>
      <c r="D26" s="45" t="n">
        <f aca="false">IF($B$4&lt;&gt;"Complete","TBD",D23+D24-D25)</f>
        <v>9.19718444623123</v>
      </c>
      <c r="E26" s="45" t="n">
        <f aca="false">IF($B$4&lt;&gt;"Complete","TBD",E23+E24-E25)</f>
        <v>13.6582834069183</v>
      </c>
      <c r="F26" s="45" t="n">
        <f aca="false">IF($B$4&lt;&gt;"Complete","TBD",F23+F24-F25)</f>
        <v>18.0301603883917</v>
      </c>
      <c r="G26" s="45" t="n">
        <f aca="false">IF($B$4&lt;&gt;"Complete","TBD",G23+G24-G25)</f>
        <v>22.3145998302356</v>
      </c>
      <c r="H26" s="45" t="n">
        <f aca="false">IF($B$4&lt;&gt;"Complete","TBD",H23+H24-H25)</f>
        <v>26.5133504832426</v>
      </c>
      <c r="I26" s="45" t="n">
        <f aca="false">IF($B$4&lt;&gt;"Complete","TBD",I23+I24-I25)</f>
        <v>30.6281261231895</v>
      </c>
      <c r="J26" s="45" t="n">
        <f aca="false">IF($B$4&lt;&gt;"Complete","TBD",J23+J24-J25)</f>
        <v>34.6606062503374</v>
      </c>
      <c r="K26" s="45" t="n">
        <f aca="false">IF($B$4&lt;&gt;"Complete","TBD",K23+K24-K25)</f>
        <v>38.6124367749424</v>
      </c>
      <c r="L26" s="45" t="n">
        <f aca="false">IF($B$4&lt;&gt;"Complete","TBD",L23+L24-L25)</f>
        <v>42.4852306890553</v>
      </c>
      <c r="M26" s="45" t="n">
        <f aca="false">IF($B$4&lt;&gt;"Complete","TBD",M23+M24-M25)</f>
        <v>46.2805687248859</v>
      </c>
      <c r="N26" s="45" t="n">
        <f aca="false">IF($B$4&lt;&gt;"Complete","TBD",N23+N24-N25)</f>
        <v>49.9999999999999</v>
      </c>
      <c r="O26" s="45" t="n">
        <f aca="false">IF($B$4&lt;&gt;"Complete","TBD",O23+O24-O25)</f>
        <v>53.6450426496117</v>
      </c>
      <c r="P26" s="45" t="n">
        <f aca="false">IF($B$4&lt;&gt;"Complete","TBD",P23+P24-P25)</f>
        <v>57.2171844462312</v>
      </c>
      <c r="Q26" s="45" t="n">
        <f aca="false">IF($B$4&lt;&gt;"Complete","TBD",Q23+Q24-Q25)</f>
        <v>60.7178834069183</v>
      </c>
      <c r="R26" s="45" t="n">
        <f aca="false">IF($B$4&lt;&gt;"Complete","TBD",R23+R24-R25)</f>
        <v>64.1485683883917</v>
      </c>
      <c r="S26" s="45" t="n">
        <f aca="false">IF($B$4&lt;&gt;"Complete","TBD",S23+S24-S25)</f>
        <v>67.5106396702356</v>
      </c>
      <c r="T26" s="45" t="n">
        <f aca="false">IF($B$4&lt;&gt;"Complete","TBD",T23+T24-T25)</f>
        <v>70.8054695264426</v>
      </c>
      <c r="U26" s="45" t="n">
        <f aca="false">IF($B$4&lt;&gt;"Complete","TBD",U23+U24-U25)</f>
        <v>74.0344027855255</v>
      </c>
      <c r="V26" s="45" t="n">
        <f aca="false">IF($B$4&lt;&gt;"Complete","TBD",V23+V24-V25)</f>
        <v>77.1987573794267</v>
      </c>
      <c r="W26" s="45" t="n">
        <f aca="false">IF($B$4&lt;&gt;"Complete","TBD",W23+W24-W25)</f>
        <v>80.2998248814499</v>
      </c>
      <c r="X26" s="45" t="n">
        <f aca="false">IF($B$4&lt;&gt;"Complete","TBD",X23+X24-X25)</f>
        <v>83.3388710334327</v>
      </c>
      <c r="Y26" s="45" t="n">
        <f aca="false">IF($B$4&lt;&gt;"Complete","TBD",Y23+Y24-Y25)</f>
        <v>86.3171362623757</v>
      </c>
      <c r="Z26" s="45" t="n">
        <f aca="false">IF($B$4&lt;&gt;"Complete","TBD",Z23+Z24-Z25)</f>
        <v>89.23583618674</v>
      </c>
    </row>
    <row r="27" customFormat="false" ht="20.25" hidden="false" customHeight="true" outlineLevel="0" collapsed="false">
      <c r="A27" s="8" t="s">
        <v>445</v>
      </c>
      <c r="B27" s="39" t="s">
        <v>446</v>
      </c>
      <c r="C27" s="40" t="n">
        <f aca="false">IF($B$4&lt;&gt;"Complete","TBD",$B$12)</f>
        <v>1</v>
      </c>
      <c r="D27" s="40" t="n">
        <f aca="false">IF($B$4&lt;&gt;"Complete","TBD",C27*(1+$B$13))</f>
        <v>1</v>
      </c>
      <c r="E27" s="40" t="n">
        <f aca="false">IF($B$4&lt;&gt;"Complete","TBD",D27*(1+$B$13))</f>
        <v>1</v>
      </c>
      <c r="F27" s="40" t="n">
        <f aca="false">IF($B$4&lt;&gt;"Complete","TBD",E27*(1+$B$13))</f>
        <v>1</v>
      </c>
      <c r="G27" s="40" t="n">
        <f aca="false">IF($B$4&lt;&gt;"Complete","TBD",F27*(1+$B$13))</f>
        <v>1</v>
      </c>
      <c r="H27" s="40" t="n">
        <f aca="false">IF($B$4&lt;&gt;"Complete","TBD",G27*(1+$B$13))</f>
        <v>1</v>
      </c>
      <c r="I27" s="40" t="n">
        <f aca="false">IF($B$4&lt;&gt;"Complete","TBD",H27*(1+$B$13))</f>
        <v>1</v>
      </c>
      <c r="J27" s="40" t="n">
        <f aca="false">IF($B$4&lt;&gt;"Complete","TBD",I27*(1+$B$13))</f>
        <v>1</v>
      </c>
      <c r="K27" s="40" t="n">
        <f aca="false">IF($B$4&lt;&gt;"Complete","TBD",J27*(1+$B$13))</f>
        <v>1</v>
      </c>
      <c r="L27" s="40" t="n">
        <f aca="false">IF($B$4&lt;&gt;"Complete","TBD",K27*(1+$B$13))</f>
        <v>1</v>
      </c>
      <c r="M27" s="40" t="n">
        <f aca="false">IF($B$4&lt;&gt;"Complete","TBD",L27*(1+$B$13))</f>
        <v>1</v>
      </c>
      <c r="N27" s="40" t="n">
        <f aca="false">IF($B$4&lt;&gt;"Complete","TBD",M27*(1+$B$13))</f>
        <v>1</v>
      </c>
      <c r="O27" s="40" t="n">
        <f aca="false">IF($B$4&lt;&gt;"Complete","TBD",N27*(1+$B$13))</f>
        <v>1</v>
      </c>
      <c r="P27" s="40" t="n">
        <f aca="false">IF($B$4&lt;&gt;"Complete","TBD",O27*(1+$B$13))</f>
        <v>1</v>
      </c>
      <c r="Q27" s="40" t="n">
        <f aca="false">IF($B$4&lt;&gt;"Complete","TBD",P27*(1+$B$13))</f>
        <v>1</v>
      </c>
      <c r="R27" s="40" t="n">
        <f aca="false">IF($B$4&lt;&gt;"Complete","TBD",Q27*(1+$B$13))</f>
        <v>1</v>
      </c>
      <c r="S27" s="40" t="n">
        <f aca="false">IF($B$4&lt;&gt;"Complete","TBD",R27*(1+$B$13))</f>
        <v>1</v>
      </c>
      <c r="T27" s="40" t="n">
        <f aca="false">IF($B$4&lt;&gt;"Complete","TBD",S27*(1+$B$13))</f>
        <v>1</v>
      </c>
      <c r="U27" s="40" t="n">
        <f aca="false">IF($B$4&lt;&gt;"Complete","TBD",T27*(1+$B$13))</f>
        <v>1</v>
      </c>
      <c r="V27" s="40" t="n">
        <f aca="false">IF($B$4&lt;&gt;"Complete","TBD",U27*(1+$B$13))</f>
        <v>1</v>
      </c>
      <c r="W27" s="40" t="n">
        <f aca="false">IF($B$4&lt;&gt;"Complete","TBD",V27*(1+$B$13))</f>
        <v>1</v>
      </c>
      <c r="X27" s="40" t="n">
        <f aca="false">IF($B$4&lt;&gt;"Complete","TBD",W27*(1+$B$13))</f>
        <v>1</v>
      </c>
      <c r="Y27" s="40" t="n">
        <f aca="false">IF($B$4&lt;&gt;"Complete","TBD",X27*(1+$B$13))</f>
        <v>1</v>
      </c>
      <c r="Z27" s="40" t="n">
        <f aca="false">IF($B$4&lt;&gt;"Complete","TBD",Y27*(1+$B$13))</f>
        <v>1</v>
      </c>
    </row>
    <row r="28" customFormat="false" ht="20.25" hidden="false" customHeight="true" outlineLevel="0" collapsed="false">
      <c r="A28" s="10" t="s">
        <v>447</v>
      </c>
      <c r="B28" s="41" t="s">
        <v>446</v>
      </c>
      <c r="C28" s="42" t="n">
        <f aca="false">IF($B$4&lt;&gt;"Complete","TBD",C26*C27)</f>
        <v>4.64504264961173</v>
      </c>
      <c r="D28" s="42" t="n">
        <f aca="false">IF($B$4&lt;&gt;"Complete","TBD",D26*D27)</f>
        <v>9.19718444623123</v>
      </c>
      <c r="E28" s="42" t="n">
        <f aca="false">IF($B$4&lt;&gt;"Complete","TBD",E26*E27)</f>
        <v>13.6582834069183</v>
      </c>
      <c r="F28" s="42" t="n">
        <f aca="false">IF($B$4&lt;&gt;"Complete","TBD",F26*F27)</f>
        <v>18.0301603883917</v>
      </c>
      <c r="G28" s="42" t="n">
        <f aca="false">IF($B$4&lt;&gt;"Complete","TBD",G26*G27)</f>
        <v>22.3145998302356</v>
      </c>
      <c r="H28" s="42" t="n">
        <f aca="false">IF($B$4&lt;&gt;"Complete","TBD",H26*H27)</f>
        <v>26.5133504832426</v>
      </c>
      <c r="I28" s="42" t="n">
        <f aca="false">IF($B$4&lt;&gt;"Complete","TBD",I26*I27)</f>
        <v>30.6281261231895</v>
      </c>
      <c r="J28" s="42" t="n">
        <f aca="false">IF($B$4&lt;&gt;"Complete","TBD",J26*J27)</f>
        <v>34.6606062503374</v>
      </c>
      <c r="K28" s="42" t="n">
        <f aca="false">IF($B$4&lt;&gt;"Complete","TBD",K26*K27)</f>
        <v>38.6124367749424</v>
      </c>
      <c r="L28" s="42" t="n">
        <f aca="false">IF($B$4&lt;&gt;"Complete","TBD",L26*L27)</f>
        <v>42.4852306890553</v>
      </c>
      <c r="M28" s="42" t="n">
        <f aca="false">IF($B$4&lt;&gt;"Complete","TBD",M26*M27)</f>
        <v>46.2805687248859</v>
      </c>
      <c r="N28" s="42" t="n">
        <f aca="false">IF($B$4&lt;&gt;"Complete","TBD",N26*N27)</f>
        <v>49.9999999999999</v>
      </c>
      <c r="O28" s="42" t="n">
        <f aca="false">IF($B$4&lt;&gt;"Complete","TBD",O26*O27)</f>
        <v>53.6450426496117</v>
      </c>
      <c r="P28" s="42" t="n">
        <f aca="false">IF($B$4&lt;&gt;"Complete","TBD",P26*P27)</f>
        <v>57.2171844462312</v>
      </c>
      <c r="Q28" s="42" t="n">
        <f aca="false">IF($B$4&lt;&gt;"Complete","TBD",Q26*Q27)</f>
        <v>60.7178834069183</v>
      </c>
      <c r="R28" s="42" t="n">
        <f aca="false">IF($B$4&lt;&gt;"Complete","TBD",R26*R27)</f>
        <v>64.1485683883917</v>
      </c>
      <c r="S28" s="42" t="n">
        <f aca="false">IF($B$4&lt;&gt;"Complete","TBD",S26*S27)</f>
        <v>67.5106396702356</v>
      </c>
      <c r="T28" s="42" t="n">
        <f aca="false">IF($B$4&lt;&gt;"Complete","TBD",T26*T27)</f>
        <v>70.8054695264426</v>
      </c>
      <c r="U28" s="42" t="n">
        <f aca="false">IF($B$4&lt;&gt;"Complete","TBD",U26*U27)</f>
        <v>74.0344027855255</v>
      </c>
      <c r="V28" s="42" t="n">
        <f aca="false">IF($B$4&lt;&gt;"Complete","TBD",V26*V27)</f>
        <v>77.1987573794267</v>
      </c>
      <c r="W28" s="42" t="n">
        <f aca="false">IF($B$4&lt;&gt;"Complete","TBD",W26*W27)</f>
        <v>80.2998248814499</v>
      </c>
      <c r="X28" s="42" t="n">
        <f aca="false">IF($B$4&lt;&gt;"Complete","TBD",X26*X27)</f>
        <v>83.3388710334327</v>
      </c>
      <c r="Y28" s="42" t="n">
        <f aca="false">IF($B$4&lt;&gt;"Complete","TBD",Y26*Y27)</f>
        <v>86.3171362623757</v>
      </c>
      <c r="Z28" s="42" t="n">
        <f aca="false">IF($B$4&lt;&gt;"Complete","TBD",Z26*Z27)</f>
        <v>89.23583618674</v>
      </c>
    </row>
    <row r="29" customFormat="false" ht="20.25" hidden="false" customHeight="true" outlineLevel="0" collapsed="false">
      <c r="A29" s="8" t="s">
        <v>448</v>
      </c>
      <c r="B29" s="39" t="s">
        <v>446</v>
      </c>
      <c r="C29" s="40" t="n">
        <f aca="false">IF($B$4&lt;&gt;"Complete","TBD",C28*$B$14)</f>
        <v>2.78702558976704</v>
      </c>
      <c r="D29" s="40" t="n">
        <f aca="false">IF($B$4&lt;&gt;"Complete","TBD",D28*$B$14)</f>
        <v>5.51831066773874</v>
      </c>
      <c r="E29" s="40" t="n">
        <f aca="false">IF($B$4&lt;&gt;"Complete","TBD",E28*$B$14)</f>
        <v>8.194970044151</v>
      </c>
      <c r="F29" s="40" t="n">
        <f aca="false">IF($B$4&lt;&gt;"Complete","TBD",F28*$B$14)</f>
        <v>10.818096233035</v>
      </c>
      <c r="G29" s="40" t="n">
        <f aca="false">IF($B$4&lt;&gt;"Complete","TBD",G28*$B$14)</f>
        <v>13.3887598981414</v>
      </c>
      <c r="H29" s="40" t="n">
        <f aca="false">IF($B$4&lt;&gt;"Complete","TBD",H28*$B$14)</f>
        <v>15.9080102899456</v>
      </c>
      <c r="I29" s="40" t="n">
        <f aca="false">IF($B$4&lt;&gt;"Complete","TBD",I28*$B$14)</f>
        <v>18.3768756739137</v>
      </c>
      <c r="J29" s="40" t="n">
        <f aca="false">IF($B$4&lt;&gt;"Complete","TBD",J28*$B$14)</f>
        <v>20.7963637502025</v>
      </c>
      <c r="K29" s="40" t="n">
        <f aca="false">IF($B$4&lt;&gt;"Complete","TBD",K28*$B$14)</f>
        <v>23.1674620649655</v>
      </c>
      <c r="L29" s="40" t="n">
        <f aca="false">IF($B$4&lt;&gt;"Complete","TBD",L28*$B$14)</f>
        <v>25.4911384134332</v>
      </c>
      <c r="M29" s="40" t="n">
        <f aca="false">IF($B$4&lt;&gt;"Complete","TBD",M28*$B$14)</f>
        <v>27.7683412349316</v>
      </c>
      <c r="N29" s="40" t="n">
        <f aca="false">IF($B$4&lt;&gt;"Complete","TBD",N28*$B$14)</f>
        <v>30</v>
      </c>
      <c r="O29" s="40" t="n">
        <f aca="false">IF($B$4&lt;&gt;"Complete","TBD",O28*$B$14)</f>
        <v>32.187025589767</v>
      </c>
      <c r="P29" s="40" t="n">
        <f aca="false">IF($B$4&lt;&gt;"Complete","TBD",P28*$B$14)</f>
        <v>34.3303106677387</v>
      </c>
      <c r="Q29" s="40" t="n">
        <f aca="false">IF($B$4&lt;&gt;"Complete","TBD",Q28*$B$14)</f>
        <v>36.430730044151</v>
      </c>
      <c r="R29" s="40" t="n">
        <f aca="false">IF($B$4&lt;&gt;"Complete","TBD",R28*$B$14)</f>
        <v>38.489141033035</v>
      </c>
      <c r="S29" s="40" t="n">
        <f aca="false">IF($B$4&lt;&gt;"Complete","TBD",S28*$B$14)</f>
        <v>40.5063838021413</v>
      </c>
      <c r="T29" s="40" t="n">
        <f aca="false">IF($B$4&lt;&gt;"Complete","TBD",T28*$B$14)</f>
        <v>42.4832817158656</v>
      </c>
      <c r="U29" s="40" t="n">
        <f aca="false">IF($B$4&lt;&gt;"Complete","TBD",U28*$B$14)</f>
        <v>44.4206416713153</v>
      </c>
      <c r="V29" s="40" t="n">
        <f aca="false">IF($B$4&lt;&gt;"Complete","TBD",V28*$B$14)</f>
        <v>46.319254427656</v>
      </c>
      <c r="W29" s="40" t="n">
        <f aca="false">IF($B$4&lt;&gt;"Complete","TBD",W28*$B$14)</f>
        <v>48.1798949288699</v>
      </c>
      <c r="X29" s="40" t="n">
        <f aca="false">IF($B$4&lt;&gt;"Complete","TBD",X28*$B$14)</f>
        <v>50.0033226200596</v>
      </c>
      <c r="Y29" s="40" t="n">
        <f aca="false">IF($B$4&lt;&gt;"Complete","TBD",Y28*$B$14)</f>
        <v>51.7902817574254</v>
      </c>
      <c r="Z29" s="40" t="n">
        <f aca="false">IF($B$4&lt;&gt;"Complete","TBD",Z28*$B$14)</f>
        <v>53.541501712044</v>
      </c>
    </row>
    <row r="30" customFormat="false" ht="20.25" hidden="false" customHeight="true" outlineLevel="0" collapsed="false">
      <c r="A30" s="10" t="s">
        <v>449</v>
      </c>
      <c r="B30" s="41" t="s">
        <v>446</v>
      </c>
      <c r="C30" s="42" t="n">
        <f aca="false">IF($B$4&lt;&gt;"Complete","TBD",C28*$B$15)</f>
        <v>1.39351279488352</v>
      </c>
      <c r="D30" s="42" t="n">
        <f aca="false">IF($B$4&lt;&gt;"Complete","TBD",D28*$B$15)</f>
        <v>2.75915533386937</v>
      </c>
      <c r="E30" s="42" t="n">
        <f aca="false">IF($B$4&lt;&gt;"Complete","TBD",E28*$B$15)</f>
        <v>4.0974850220755</v>
      </c>
      <c r="F30" s="42" t="n">
        <f aca="false">IF($B$4&lt;&gt;"Complete","TBD",F28*$B$15)</f>
        <v>5.40904811651751</v>
      </c>
      <c r="G30" s="42" t="n">
        <f aca="false">IF($B$4&lt;&gt;"Complete","TBD",G28*$B$15)</f>
        <v>6.69437994907068</v>
      </c>
      <c r="H30" s="42" t="n">
        <f aca="false">IF($B$4&lt;&gt;"Complete","TBD",H28*$B$15)</f>
        <v>7.95400514497279</v>
      </c>
      <c r="I30" s="42" t="n">
        <f aca="false">IF($B$4&lt;&gt;"Complete","TBD",I28*$B$15)</f>
        <v>9.18843783695685</v>
      </c>
      <c r="J30" s="42" t="n">
        <f aca="false">IF($B$4&lt;&gt;"Complete","TBD",J28*$B$15)</f>
        <v>10.3981818751012</v>
      </c>
      <c r="K30" s="42" t="n">
        <f aca="false">IF($B$4&lt;&gt;"Complete","TBD",K28*$B$15)</f>
        <v>11.5837310324827</v>
      </c>
      <c r="L30" s="42" t="n">
        <f aca="false">IF($B$4&lt;&gt;"Complete","TBD",L28*$B$15)</f>
        <v>12.7455692067166</v>
      </c>
      <c r="M30" s="42" t="n">
        <f aca="false">IF($B$4&lt;&gt;"Complete","TBD",M28*$B$15)</f>
        <v>13.8841706174658</v>
      </c>
      <c r="N30" s="42" t="n">
        <f aca="false">IF($B$4&lt;&gt;"Complete","TBD",N28*$B$15)</f>
        <v>15</v>
      </c>
      <c r="O30" s="42" t="n">
        <f aca="false">IF($B$4&lt;&gt;"Complete","TBD",O28*$B$15)</f>
        <v>16.0935127948835</v>
      </c>
      <c r="P30" s="42" t="n">
        <f aca="false">IF($B$4&lt;&gt;"Complete","TBD",P28*$B$15)</f>
        <v>17.1651553338694</v>
      </c>
      <c r="Q30" s="42" t="n">
        <f aca="false">IF($B$4&lt;&gt;"Complete","TBD",Q28*$B$15)</f>
        <v>18.2153650220755</v>
      </c>
      <c r="R30" s="42" t="n">
        <f aca="false">IF($B$4&lt;&gt;"Complete","TBD",R28*$B$15)</f>
        <v>19.2445705165175</v>
      </c>
      <c r="S30" s="42" t="n">
        <f aca="false">IF($B$4&lt;&gt;"Complete","TBD",S28*$B$15)</f>
        <v>20.2531919010707</v>
      </c>
      <c r="T30" s="42" t="n">
        <f aca="false">IF($B$4&lt;&gt;"Complete","TBD",T28*$B$15)</f>
        <v>21.2416408579328</v>
      </c>
      <c r="U30" s="42" t="n">
        <f aca="false">IF($B$4&lt;&gt;"Complete","TBD",U28*$B$15)</f>
        <v>22.2103208356576</v>
      </c>
      <c r="V30" s="42" t="n">
        <f aca="false">IF($B$4&lt;&gt;"Complete","TBD",V28*$B$15)</f>
        <v>23.159627213828</v>
      </c>
      <c r="W30" s="42" t="n">
        <f aca="false">IF($B$4&lt;&gt;"Complete","TBD",W28*$B$15)</f>
        <v>24.089947464435</v>
      </c>
      <c r="X30" s="42" t="n">
        <f aca="false">IF($B$4&lt;&gt;"Complete","TBD",X28*$B$15)</f>
        <v>25.0016613100298</v>
      </c>
      <c r="Y30" s="42" t="n">
        <f aca="false">IF($B$4&lt;&gt;"Complete","TBD",Y28*$B$15)</f>
        <v>25.8951408787127</v>
      </c>
      <c r="Z30" s="42" t="n">
        <f aca="false">IF($B$4&lt;&gt;"Complete","TBD",Z28*$B$15)</f>
        <v>26.770750856022</v>
      </c>
    </row>
    <row r="31" customFormat="false" ht="20.25" hidden="false" customHeight="true" outlineLevel="0" collapsed="false">
      <c r="A31" s="8" t="s">
        <v>450</v>
      </c>
      <c r="B31" s="39" t="s">
        <v>446</v>
      </c>
      <c r="C31" s="40" t="n">
        <f aca="false">IF($B$4&lt;&gt;"Complete","TBD",C28*$B$16)</f>
        <v>0.464504264961173</v>
      </c>
      <c r="D31" s="40" t="n">
        <f aca="false">IF($B$4&lt;&gt;"Complete","TBD",D28*$B$16)</f>
        <v>0.919718444623123</v>
      </c>
      <c r="E31" s="40" t="n">
        <f aca="false">IF($B$4&lt;&gt;"Complete","TBD",E28*$B$16)</f>
        <v>1.36582834069183</v>
      </c>
      <c r="F31" s="40" t="n">
        <f aca="false">IF($B$4&lt;&gt;"Complete","TBD",F28*$B$16)</f>
        <v>1.80301603883917</v>
      </c>
      <c r="G31" s="40" t="n">
        <f aca="false">IF($B$4&lt;&gt;"Complete","TBD",G28*$B$16)</f>
        <v>2.23145998302356</v>
      </c>
      <c r="H31" s="40" t="n">
        <f aca="false">IF($B$4&lt;&gt;"Complete","TBD",H28*$B$16)</f>
        <v>2.65133504832426</v>
      </c>
      <c r="I31" s="40" t="n">
        <f aca="false">IF($B$4&lt;&gt;"Complete","TBD",I28*$B$16)</f>
        <v>3.06281261231895</v>
      </c>
      <c r="J31" s="40" t="n">
        <f aca="false">IF($B$4&lt;&gt;"Complete","TBD",J28*$B$16)</f>
        <v>3.46606062503374</v>
      </c>
      <c r="K31" s="40" t="n">
        <f aca="false">IF($B$4&lt;&gt;"Complete","TBD",K28*$B$16)</f>
        <v>3.86124367749424</v>
      </c>
      <c r="L31" s="40" t="n">
        <f aca="false">IF($B$4&lt;&gt;"Complete","TBD",L28*$B$16)</f>
        <v>4.24852306890553</v>
      </c>
      <c r="M31" s="40" t="n">
        <f aca="false">IF($B$4&lt;&gt;"Complete","TBD",M28*$B$16)</f>
        <v>4.62805687248859</v>
      </c>
      <c r="N31" s="40" t="n">
        <f aca="false">IF($B$4&lt;&gt;"Complete","TBD",N28*$B$16)</f>
        <v>5</v>
      </c>
      <c r="O31" s="40" t="n">
        <f aca="false">IF($B$4&lt;&gt;"Complete","TBD",O28*$B$16)</f>
        <v>5.36450426496117</v>
      </c>
      <c r="P31" s="40" t="n">
        <f aca="false">IF($B$4&lt;&gt;"Complete","TBD",P28*$B$16)</f>
        <v>5.72171844462312</v>
      </c>
      <c r="Q31" s="40" t="n">
        <f aca="false">IF($B$4&lt;&gt;"Complete","TBD",Q28*$B$16)</f>
        <v>6.07178834069183</v>
      </c>
      <c r="R31" s="40" t="n">
        <f aca="false">IF($B$4&lt;&gt;"Complete","TBD",R28*$B$16)</f>
        <v>6.41485683883917</v>
      </c>
      <c r="S31" s="40" t="n">
        <f aca="false">IF($B$4&lt;&gt;"Complete","TBD",S28*$B$16)</f>
        <v>6.75106396702356</v>
      </c>
      <c r="T31" s="40" t="n">
        <f aca="false">IF($B$4&lt;&gt;"Complete","TBD",T28*$B$16)</f>
        <v>7.08054695264426</v>
      </c>
      <c r="U31" s="40" t="n">
        <f aca="false">IF($B$4&lt;&gt;"Complete","TBD",U28*$B$16)</f>
        <v>7.40344027855255</v>
      </c>
      <c r="V31" s="40" t="n">
        <f aca="false">IF($B$4&lt;&gt;"Complete","TBD",V28*$B$16)</f>
        <v>7.71987573794267</v>
      </c>
      <c r="W31" s="40" t="n">
        <f aca="false">IF($B$4&lt;&gt;"Complete","TBD",W28*$B$16)</f>
        <v>8.02998248814499</v>
      </c>
      <c r="X31" s="40" t="n">
        <f aca="false">IF($B$4&lt;&gt;"Complete","TBD",X28*$B$16)</f>
        <v>8.33388710334327</v>
      </c>
      <c r="Y31" s="40" t="n">
        <f aca="false">IF($B$4&lt;&gt;"Complete","TBD",Y28*$B$16)</f>
        <v>8.63171362623758</v>
      </c>
      <c r="Z31" s="40" t="n">
        <f aca="false">IF($B$4&lt;&gt;"Complete","TBD",Z28*$B$16)</f>
        <v>8.923583618674</v>
      </c>
    </row>
    <row r="32" customFormat="false" ht="20.25" hidden="false" customHeight="true" outlineLevel="0" collapsed="false">
      <c r="A32" s="10" t="s">
        <v>451</v>
      </c>
      <c r="B32" s="41" t="s">
        <v>452</v>
      </c>
      <c r="C32" s="46" t="n">
        <f aca="false">IF($B$4&lt;&gt;"Complete","TBD",IF($B$14=0,0,C29*$B$17))</f>
        <v>4177.75135906079</v>
      </c>
      <c r="D32" s="46" t="n">
        <f aca="false">IF($B$4&lt;&gt;"Complete","TBD",IF($B$14=0,0,D29*$B$17))</f>
        <v>8271.94769094037</v>
      </c>
      <c r="E32" s="46" t="n">
        <f aca="false">IF($B$4&lt;&gt;"Complete","TBD",IF($B$14=0,0,E29*$B$17))</f>
        <v>12284.2600961824</v>
      </c>
      <c r="F32" s="46" t="n">
        <f aca="false">IF($B$4&lt;&gt;"Complete","TBD",IF($B$14=0,0,F29*$B$17))</f>
        <v>16216.3262533195</v>
      </c>
      <c r="G32" s="46" t="n">
        <f aca="false">IF($B$4&lt;&gt;"Complete","TBD",IF($B$14=0,0,G29*$B$17))</f>
        <v>20069.7510873139</v>
      </c>
      <c r="H32" s="46" t="n">
        <f aca="false">IF($B$4&lt;&gt;"Complete","TBD",IF($B$14=0,0,H29*$B$17))</f>
        <v>23846.1074246284</v>
      </c>
      <c r="I32" s="46" t="n">
        <f aca="false">IF($B$4&lt;&gt;"Complete","TBD",IF($B$14=0,0,I29*$B$17))</f>
        <v>27546.9366351966</v>
      </c>
      <c r="J32" s="46" t="n">
        <f aca="false">IF($B$4&lt;&gt;"Complete","TBD",IF($B$14=0,0,J29*$B$17))</f>
        <v>31173.7492615535</v>
      </c>
      <c r="K32" s="46" t="n">
        <f aca="false">IF($B$4&lt;&gt;"Complete","TBD",IF($B$14=0,0,K29*$B$17))</f>
        <v>34728.0256353832</v>
      </c>
      <c r="L32" s="46" t="n">
        <f aca="false">IF($B$4&lt;&gt;"Complete","TBD",IF($B$14=0,0,L29*$B$17))</f>
        <v>38211.2164817363</v>
      </c>
      <c r="M32" s="46" t="n">
        <f aca="false">IF($B$4&lt;&gt;"Complete","TBD",IF($B$14=0,0,M29*$B$17))</f>
        <v>41624.7435111624</v>
      </c>
      <c r="N32" s="46" t="n">
        <f aca="false">IF($B$4&lt;&gt;"Complete","TBD",IF($B$14=0,0,N29*$B$17))</f>
        <v>44970</v>
      </c>
      <c r="O32" s="46" t="n">
        <f aca="false">IF($B$4&lt;&gt;"Complete","TBD",IF($B$14=0,0,O29*$B$17))</f>
        <v>48248.3513590607</v>
      </c>
      <c r="P32" s="46" t="n">
        <f aca="false">IF($B$4&lt;&gt;"Complete","TBD",IF($B$14=0,0,P29*$B$17))</f>
        <v>51461.1356909403</v>
      </c>
      <c r="Q32" s="46" t="n">
        <f aca="false">IF($B$4&lt;&gt;"Complete","TBD",IF($B$14=0,0,Q29*$B$17))</f>
        <v>54609.6643361823</v>
      </c>
      <c r="R32" s="46" t="n">
        <f aca="false">IF($B$4&lt;&gt;"Complete","TBD",IF($B$14=0,0,R29*$B$17))</f>
        <v>57695.2224085195</v>
      </c>
      <c r="S32" s="46" t="n">
        <f aca="false">IF($B$4&lt;&gt;"Complete","TBD",IF($B$14=0,0,S29*$B$17))</f>
        <v>60719.0693194099</v>
      </c>
      <c r="T32" s="46" t="n">
        <f aca="false">IF($B$4&lt;&gt;"Complete","TBD",IF($B$14=0,0,T29*$B$17))</f>
        <v>63682.4392920825</v>
      </c>
      <c r="U32" s="46" t="n">
        <f aca="false">IF($B$4&lt;&gt;"Complete","TBD",IF($B$14=0,0,U29*$B$17))</f>
        <v>66586.5418653016</v>
      </c>
      <c r="V32" s="46" t="n">
        <f aca="false">IF($B$4&lt;&gt;"Complete","TBD",IF($B$14=0,0,V29*$B$17))</f>
        <v>69432.5623870564</v>
      </c>
      <c r="W32" s="46" t="n">
        <f aca="false">IF($B$4&lt;&gt;"Complete","TBD",IF($B$14=0,0,W29*$B$17))</f>
        <v>72221.662498376</v>
      </c>
      <c r="X32" s="46" t="n">
        <f aca="false">IF($B$4&lt;&gt;"Complete","TBD",IF($B$14=0,0,X29*$B$17))</f>
        <v>74954.9806074693</v>
      </c>
      <c r="Y32" s="46" t="n">
        <f aca="false">IF($B$4&lt;&gt;"Complete","TBD",IF($B$14=0,0,Y29*$B$17))</f>
        <v>77633.6323543807</v>
      </c>
      <c r="Z32" s="46" t="n">
        <f aca="false">IF($B$4&lt;&gt;"Complete","TBD",IF($B$14=0,0,Z29*$B$17))</f>
        <v>80258.7110663539</v>
      </c>
    </row>
    <row r="33" customFormat="false" ht="20.25" hidden="false" customHeight="true" outlineLevel="0" collapsed="false">
      <c r="A33" s="8" t="s">
        <v>453</v>
      </c>
      <c r="B33" s="39" t="s">
        <v>452</v>
      </c>
      <c r="C33" s="47" t="n">
        <f aca="false">IF($B$4&lt;&gt;"Complete","TBD",IF($B$15=0,0,C30*$B$18))</f>
        <v>8359.68325650624</v>
      </c>
      <c r="D33" s="47" t="n">
        <f aca="false">IF($B$4&lt;&gt;"Complete","TBD",IF($B$15=0,0,D30*$B$18))</f>
        <v>16552.1728478823</v>
      </c>
      <c r="E33" s="47" t="n">
        <f aca="false">IF($B$4&lt;&gt;"Complete","TBD",IF($B$15=0,0,E30*$B$18))</f>
        <v>24580.8126474309</v>
      </c>
      <c r="F33" s="47" t="n">
        <f aca="false">IF($B$4&lt;&gt;"Complete","TBD",IF($B$15=0,0,F30*$B$18))</f>
        <v>32448.8796509885</v>
      </c>
      <c r="G33" s="47" t="n">
        <f aca="false">IF($B$4&lt;&gt;"Complete","TBD",IF($B$15=0,0,G30*$B$18))</f>
        <v>40159.585314475</v>
      </c>
      <c r="H33" s="47" t="n">
        <f aca="false">IF($B$4&lt;&gt;"Complete","TBD",IF($B$15=0,0,H30*$B$18))</f>
        <v>47716.0768646917</v>
      </c>
      <c r="I33" s="47" t="n">
        <f aca="false">IF($B$4&lt;&gt;"Complete","TBD",IF($B$15=0,0,I30*$B$18))</f>
        <v>55121.4385839041</v>
      </c>
      <c r="J33" s="47" t="n">
        <f aca="false">IF($B$4&lt;&gt;"Complete","TBD",IF($B$15=0,0,J30*$B$18))</f>
        <v>62378.6930687323</v>
      </c>
      <c r="K33" s="47" t="n">
        <f aca="false">IF($B$4&lt;&gt;"Complete","TBD",IF($B$15=0,0,K30*$B$18))</f>
        <v>69490.8024638639</v>
      </c>
      <c r="L33" s="47" t="n">
        <f aca="false">IF($B$4&lt;&gt;"Complete","TBD",IF($B$15=0,0,L30*$B$18))</f>
        <v>76460.6696710928</v>
      </c>
      <c r="M33" s="47" t="n">
        <f aca="false">IF($B$4&lt;&gt;"Complete","TBD",IF($B$15=0,0,M30*$B$18))</f>
        <v>83291.1395341772</v>
      </c>
      <c r="N33" s="47" t="n">
        <f aca="false">IF($B$4&lt;&gt;"Complete","TBD",IF($B$15=0,0,N30*$B$18))</f>
        <v>89984.9999999999</v>
      </c>
      <c r="O33" s="47" t="n">
        <f aca="false">IF($B$4&lt;&gt;"Complete","TBD",IF($B$15=0,0,O30*$B$18))</f>
        <v>96544.9832565061</v>
      </c>
      <c r="P33" s="47" t="n">
        <f aca="false">IF($B$4&lt;&gt;"Complete","TBD",IF($B$15=0,0,P30*$B$18))</f>
        <v>102973.766847882</v>
      </c>
      <c r="Q33" s="47" t="n">
        <f aca="false">IF($B$4&lt;&gt;"Complete","TBD",IF($B$15=0,0,Q30*$B$18))</f>
        <v>109273.974767431</v>
      </c>
      <c r="R33" s="47" t="n">
        <f aca="false">IF($B$4&lt;&gt;"Complete","TBD",IF($B$15=0,0,R30*$B$18))</f>
        <v>115448.178528588</v>
      </c>
      <c r="S33" s="47" t="n">
        <f aca="false">IF($B$4&lt;&gt;"Complete","TBD",IF($B$15=0,0,S30*$B$18))</f>
        <v>121498.898214523</v>
      </c>
      <c r="T33" s="47" t="n">
        <f aca="false">IF($B$4&lt;&gt;"Complete","TBD",IF($B$15=0,0,T30*$B$18))</f>
        <v>127428.603506739</v>
      </c>
      <c r="U33" s="47" t="n">
        <f aca="false">IF($B$4&lt;&gt;"Complete","TBD",IF($B$15=0,0,U30*$B$18))</f>
        <v>133239.71469311</v>
      </c>
      <c r="V33" s="47" t="n">
        <f aca="false">IF($B$4&lt;&gt;"Complete","TBD",IF($B$15=0,0,V30*$B$18))</f>
        <v>138934.603655754</v>
      </c>
      <c r="W33" s="47" t="n">
        <f aca="false">IF($B$4&lt;&gt;"Complete","TBD",IF($B$15=0,0,W30*$B$18))</f>
        <v>144515.594839145</v>
      </c>
      <c r="X33" s="47" t="n">
        <f aca="false">IF($B$4&lt;&gt;"Complete","TBD",IF($B$15=0,0,X30*$B$18))</f>
        <v>149984.966198869</v>
      </c>
      <c r="Y33" s="47" t="n">
        <f aca="false">IF($B$4&lt;&gt;"Complete","TBD",IF($B$15=0,0,Y30*$B$18))</f>
        <v>155344.950131398</v>
      </c>
      <c r="Z33" s="47" t="n">
        <f aca="false">IF($B$4&lt;&gt;"Complete","TBD",IF($B$15=0,0,Z30*$B$18))</f>
        <v>160597.734385276</v>
      </c>
    </row>
    <row r="34" customFormat="false" ht="20.25" hidden="false" customHeight="true" outlineLevel="0" collapsed="false">
      <c r="A34" s="10" t="s">
        <v>454</v>
      </c>
      <c r="B34" s="41" t="s">
        <v>452</v>
      </c>
      <c r="C34" s="46" t="n">
        <f aca="false">IF($B$4&lt;&gt;"Complete","TBD",IF($B$16=0,0,C31*$B$19))</f>
        <v>6967.09947015264</v>
      </c>
      <c r="D34" s="46" t="n">
        <f aca="false">IF($B$4&lt;&gt;"Complete","TBD",IF($B$16=0,0,D31*$B$19))</f>
        <v>13794.8569509022</v>
      </c>
      <c r="E34" s="46" t="n">
        <f aca="false">IF($B$4&lt;&gt;"Complete","TBD",IF($B$16=0,0,E31*$B$19))</f>
        <v>20486.0592820368</v>
      </c>
      <c r="F34" s="46" t="n">
        <f aca="false">IF($B$4&lt;&gt;"Complete","TBD",IF($B$16=0,0,F31*$B$19))</f>
        <v>27043.4375665487</v>
      </c>
      <c r="G34" s="46" t="n">
        <f aca="false">IF($B$4&lt;&gt;"Complete","TBD",IF($B$16=0,0,G31*$B$19))</f>
        <v>33469.6682853704</v>
      </c>
      <c r="H34" s="46" t="n">
        <f aca="false">IF($B$4&lt;&gt;"Complete","TBD",IF($B$16=0,0,H31*$B$19))</f>
        <v>39767.3743898156</v>
      </c>
      <c r="I34" s="46" t="n">
        <f aca="false">IF($B$4&lt;&gt;"Complete","TBD",IF($B$16=0,0,I31*$B$19))</f>
        <v>45939.1263721719</v>
      </c>
      <c r="J34" s="46" t="n">
        <f aca="false">IF($B$4&lt;&gt;"Complete","TBD",IF($B$16=0,0,J31*$B$19))</f>
        <v>51987.4433148811</v>
      </c>
      <c r="K34" s="46" t="n">
        <f aca="false">IF($B$4&lt;&gt;"Complete","TBD",IF($B$16=0,0,K31*$B$19))</f>
        <v>57914.7939187361</v>
      </c>
      <c r="L34" s="46" t="n">
        <f aca="false">IF($B$4&lt;&gt;"Complete","TBD",IF($B$16=0,0,L31*$B$19))</f>
        <v>63723.5975105141</v>
      </c>
      <c r="M34" s="46" t="n">
        <f aca="false">IF($B$4&lt;&gt;"Complete","TBD",IF($B$16=0,0,M31*$B$19))</f>
        <v>69416.2250304564</v>
      </c>
      <c r="N34" s="46" t="n">
        <f aca="false">IF($B$4&lt;&gt;"Complete","TBD",IF($B$16=0,0,N31*$B$19))</f>
        <v>74994.9999999999</v>
      </c>
      <c r="O34" s="46" t="n">
        <f aca="false">IF($B$4&lt;&gt;"Complete","TBD",IF($B$16=0,0,O31*$B$19))</f>
        <v>80462.1994701526</v>
      </c>
      <c r="P34" s="46" t="n">
        <f aca="false">IF($B$4&lt;&gt;"Complete","TBD",IF($B$16=0,0,P31*$B$19))</f>
        <v>85820.0549509022</v>
      </c>
      <c r="Q34" s="46" t="n">
        <f aca="false">IF($B$4&lt;&gt;"Complete","TBD",IF($B$16=0,0,Q31*$B$19))</f>
        <v>91070.7533220367</v>
      </c>
      <c r="R34" s="46" t="n">
        <f aca="false">IF($B$4&lt;&gt;"Complete","TBD",IF($B$16=0,0,R31*$B$19))</f>
        <v>96216.4377257487</v>
      </c>
      <c r="S34" s="46" t="n">
        <f aca="false">IF($B$4&lt;&gt;"Complete","TBD",IF($B$16=0,0,S31*$B$19))</f>
        <v>101259.208441386</v>
      </c>
      <c r="T34" s="46" t="n">
        <f aca="false">IF($B$4&lt;&gt;"Complete","TBD",IF($B$16=0,0,T31*$B$19))</f>
        <v>106201.123742711</v>
      </c>
      <c r="U34" s="46" t="n">
        <f aca="false">IF($B$4&lt;&gt;"Complete","TBD",IF($B$16=0,0,U31*$B$19))</f>
        <v>111044.20073801</v>
      </c>
      <c r="V34" s="46" t="n">
        <f aca="false">IF($B$4&lt;&gt;"Complete","TBD",IF($B$16=0,0,V31*$B$19))</f>
        <v>115790.416193402</v>
      </c>
      <c r="W34" s="46" t="n">
        <f aca="false">IF($B$4&lt;&gt;"Complete","TBD",IF($B$16=0,0,W31*$B$19))</f>
        <v>120441.707339687</v>
      </c>
      <c r="X34" s="46" t="n">
        <f aca="false">IF($B$4&lt;&gt;"Complete","TBD",IF($B$16=0,0,X31*$B$19))</f>
        <v>124999.972663046</v>
      </c>
      <c r="Y34" s="46" t="n">
        <f aca="false">IF($B$4&lt;&gt;"Complete","TBD",IF($B$16=0,0,Y31*$B$19))</f>
        <v>129467.072679937</v>
      </c>
      <c r="Z34" s="46" t="n">
        <f aca="false">IF($B$4&lt;&gt;"Complete","TBD",IF($B$16=0,0,Z31*$B$19))</f>
        <v>133844.830696491</v>
      </c>
    </row>
    <row r="35" customFormat="false" ht="20.25" hidden="false" customHeight="true" outlineLevel="0" collapsed="false">
      <c r="A35" s="43" t="s">
        <v>455</v>
      </c>
      <c r="B35" s="44" t="s">
        <v>452</v>
      </c>
      <c r="C35" s="48" t="n">
        <f aca="false">IF($B$4&lt;&gt;"Complete","TBD",C32+C33+C34)</f>
        <v>19504.5340857197</v>
      </c>
      <c r="D35" s="48" t="n">
        <f aca="false">IF($B$4&lt;&gt;"Complete","TBD",D32+D33+D34)</f>
        <v>38618.9774897249</v>
      </c>
      <c r="E35" s="48" t="n">
        <f aca="false">IF($B$4&lt;&gt;"Complete","TBD",E32+E33+E34)</f>
        <v>57351.1320256501</v>
      </c>
      <c r="F35" s="48" t="n">
        <f aca="false">IF($B$4&lt;&gt;"Complete","TBD",F32+F33+F34)</f>
        <v>75708.6434708568</v>
      </c>
      <c r="G35" s="48" t="n">
        <f aca="false">IF($B$4&lt;&gt;"Complete","TBD",G32+G33+G34)</f>
        <v>93699.0046871593</v>
      </c>
      <c r="H35" s="48" t="n">
        <f aca="false">IF($B$4&lt;&gt;"Complete","TBD",H32+H33+H34)</f>
        <v>111329.558679136</v>
      </c>
      <c r="I35" s="48" t="n">
        <f aca="false">IF($B$4&lt;&gt;"Complete","TBD",I32+I33+I34)</f>
        <v>128607.501591273</v>
      </c>
      <c r="J35" s="48" t="n">
        <f aca="false">IF($B$4&lt;&gt;"Complete","TBD",J32+J33+J34)</f>
        <v>145539.885645167</v>
      </c>
      <c r="K35" s="48" t="n">
        <f aca="false">IF($B$4&lt;&gt;"Complete","TBD",K32+K33+K34)</f>
        <v>162133.622017983</v>
      </c>
      <c r="L35" s="48" t="n">
        <f aca="false">IF($B$4&lt;&gt;"Complete","TBD",L32+L33+L34)</f>
        <v>178395.483663343</v>
      </c>
      <c r="M35" s="48" t="n">
        <f aca="false">IF($B$4&lt;&gt;"Complete","TBD",M32+M33+M34)</f>
        <v>194332.108075796</v>
      </c>
      <c r="N35" s="48" t="n">
        <f aca="false">IF($B$4&lt;&gt;"Complete","TBD",N32+N33+N34)</f>
        <v>209950</v>
      </c>
      <c r="O35" s="48" t="n">
        <f aca="false">IF($B$4&lt;&gt;"Complete","TBD",O32+O33+O34)</f>
        <v>225255.534085719</v>
      </c>
      <c r="P35" s="48" t="n">
        <f aca="false">IF($B$4&lt;&gt;"Complete","TBD",P32+P33+P34)</f>
        <v>240254.957489725</v>
      </c>
      <c r="Q35" s="48" t="n">
        <f aca="false">IF($B$4&lt;&gt;"Complete","TBD",Q32+Q33+Q34)</f>
        <v>254954.39242565</v>
      </c>
      <c r="R35" s="48" t="n">
        <f aca="false">IF($B$4&lt;&gt;"Complete","TBD",R32+R33+R34)</f>
        <v>269359.838662857</v>
      </c>
      <c r="S35" s="48" t="n">
        <f aca="false">IF($B$4&lt;&gt;"Complete","TBD",S32+S33+S34)</f>
        <v>283477.175975319</v>
      </c>
      <c r="T35" s="48" t="n">
        <f aca="false">IF($B$4&lt;&gt;"Complete","TBD",T32+T33+T34)</f>
        <v>297312.166541532</v>
      </c>
      <c r="U35" s="48" t="n">
        <f aca="false">IF($B$4&lt;&gt;"Complete","TBD",U32+U33+U34)</f>
        <v>310870.457296422</v>
      </c>
      <c r="V35" s="48" t="n">
        <f aca="false">IF($B$4&lt;&gt;"Complete","TBD",V32+V33+V34)</f>
        <v>324157.582236213</v>
      </c>
      <c r="W35" s="48" t="n">
        <f aca="false">IF($B$4&lt;&gt;"Complete","TBD",W32+W33+W34)</f>
        <v>337178.964677208</v>
      </c>
      <c r="X35" s="48" t="n">
        <f aca="false">IF($B$4&lt;&gt;"Complete","TBD",X32+X33+X34)</f>
        <v>349939.919469384</v>
      </c>
      <c r="Y35" s="48" t="n">
        <f aca="false">IF($B$4&lt;&gt;"Complete","TBD",Y32+Y33+Y34)</f>
        <v>362445.655165716</v>
      </c>
      <c r="Z35" s="48" t="n">
        <f aca="false">IF($B$4&lt;&gt;"Complete","TBD",Z32+Z33+Z34)</f>
        <v>374701.276148121</v>
      </c>
    </row>
    <row r="36" customFormat="false" ht="20.25" hidden="false" customHeight="true" outlineLevel="0" collapsed="false">
      <c r="A36" s="43" t="s">
        <v>456</v>
      </c>
      <c r="B36" s="44" t="s">
        <v>457</v>
      </c>
      <c r="C36" s="48" t="n">
        <f aca="false">IF($B$4&lt;&gt;"Complete","TBD",C35*12)</f>
        <v>234054.409028636</v>
      </c>
      <c r="D36" s="48" t="n">
        <f aca="false">IF($B$4&lt;&gt;"Complete","TBD",D35*12)</f>
        <v>463427.729876699</v>
      </c>
      <c r="E36" s="48" t="n">
        <f aca="false">IF($B$4&lt;&gt;"Complete","TBD",E35*12)</f>
        <v>688213.584307801</v>
      </c>
      <c r="F36" s="48" t="n">
        <f aca="false">IF($B$4&lt;&gt;"Complete","TBD",F35*12)</f>
        <v>908503.721650281</v>
      </c>
      <c r="G36" s="48" t="n">
        <f aca="false">IF($B$4&lt;&gt;"Complete","TBD",G35*12)</f>
        <v>1124388.05624591</v>
      </c>
      <c r="H36" s="48" t="n">
        <f aca="false">IF($B$4&lt;&gt;"Complete","TBD",H35*12)</f>
        <v>1335954.70414963</v>
      </c>
      <c r="I36" s="48" t="n">
        <f aca="false">IF($B$4&lt;&gt;"Complete","TBD",I35*12)</f>
        <v>1543290.01909527</v>
      </c>
      <c r="J36" s="48" t="n">
        <f aca="false">IF($B$4&lt;&gt;"Complete","TBD",J35*12)</f>
        <v>1746478.627742</v>
      </c>
      <c r="K36" s="48" t="n">
        <f aca="false">IF($B$4&lt;&gt;"Complete","TBD",K35*12)</f>
        <v>1945603.4642158</v>
      </c>
      <c r="L36" s="48" t="n">
        <f aca="false">IF($B$4&lt;&gt;"Complete","TBD",L35*12)</f>
        <v>2140745.80396012</v>
      </c>
      <c r="M36" s="48" t="n">
        <f aca="false">IF($B$4&lt;&gt;"Complete","TBD",M35*12)</f>
        <v>2331985.29690955</v>
      </c>
      <c r="N36" s="48" t="n">
        <f aca="false">IF($B$4&lt;&gt;"Complete","TBD",N35*12)</f>
        <v>2519400</v>
      </c>
      <c r="O36" s="48" t="n">
        <f aca="false">IF($B$4&lt;&gt;"Complete","TBD",O35*12)</f>
        <v>2703066.40902863</v>
      </c>
      <c r="P36" s="48" t="n">
        <f aca="false">IF($B$4&lt;&gt;"Complete","TBD",P35*12)</f>
        <v>2883059.4898767</v>
      </c>
      <c r="Q36" s="48" t="n">
        <f aca="false">IF($B$4&lt;&gt;"Complete","TBD",Q35*12)</f>
        <v>3059452.7091078</v>
      </c>
      <c r="R36" s="48" t="n">
        <f aca="false">IF($B$4&lt;&gt;"Complete","TBD",R35*12)</f>
        <v>3232318.06395428</v>
      </c>
      <c r="S36" s="48" t="n">
        <f aca="false">IF($B$4&lt;&gt;"Complete","TBD",S35*12)</f>
        <v>3401726.11170383</v>
      </c>
      <c r="T36" s="48" t="n">
        <f aca="false">IF($B$4&lt;&gt;"Complete","TBD",T35*12)</f>
        <v>3567745.99849839</v>
      </c>
      <c r="U36" s="48" t="n">
        <f aca="false">IF($B$4&lt;&gt;"Complete","TBD",U35*12)</f>
        <v>3730445.48755706</v>
      </c>
      <c r="V36" s="48" t="n">
        <f aca="false">IF($B$4&lt;&gt;"Complete","TBD",V35*12)</f>
        <v>3889890.98683455</v>
      </c>
      <c r="W36" s="48" t="n">
        <f aca="false">IF($B$4&lt;&gt;"Complete","TBD",W35*12)</f>
        <v>4046147.5761265</v>
      </c>
      <c r="X36" s="48" t="n">
        <f aca="false">IF($B$4&lt;&gt;"Complete","TBD",X35*12)</f>
        <v>4199279.0336326</v>
      </c>
      <c r="Y36" s="48" t="n">
        <f aca="false">IF($B$4&lt;&gt;"Complete","TBD",Y35*12)</f>
        <v>4349347.86198859</v>
      </c>
      <c r="Z36" s="48" t="n">
        <f aca="false">IF($B$4&lt;&gt;"Complete","TBD",Z35*12)</f>
        <v>4496415.31377745</v>
      </c>
    </row>
    <row r="37" customFormat="false" ht="20.25" hidden="false" customHeight="true" outlineLevel="0" collapsed="false">
      <c r="A37" s="8" t="s">
        <v>458</v>
      </c>
      <c r="B37" s="39" t="s">
        <v>452</v>
      </c>
      <c r="C37" s="47" t="n">
        <f aca="false">IF($B$4&lt;&gt;"Complete","TBD",IF(C26=0,0,C35/C26))</f>
        <v>4199</v>
      </c>
      <c r="D37" s="47" t="n">
        <f aca="false">IF($B$4&lt;&gt;"Complete","TBD",IF(D26=0,0,D35/D26))</f>
        <v>4199</v>
      </c>
      <c r="E37" s="47" t="n">
        <f aca="false">IF($B$4&lt;&gt;"Complete","TBD",IF(E26=0,0,E35/E26))</f>
        <v>4199</v>
      </c>
      <c r="F37" s="47" t="n">
        <f aca="false">IF($B$4&lt;&gt;"Complete","TBD",IF(F26=0,0,F35/F26))</f>
        <v>4199</v>
      </c>
      <c r="G37" s="47" t="n">
        <f aca="false">IF($B$4&lt;&gt;"Complete","TBD",IF(G26=0,0,G35/G26))</f>
        <v>4199</v>
      </c>
      <c r="H37" s="47" t="n">
        <f aca="false">IF($B$4&lt;&gt;"Complete","TBD",IF(H26=0,0,H35/H26))</f>
        <v>4199</v>
      </c>
      <c r="I37" s="47" t="n">
        <f aca="false">IF($B$4&lt;&gt;"Complete","TBD",IF(I26=0,0,I35/I26))</f>
        <v>4199</v>
      </c>
      <c r="J37" s="47" t="n">
        <f aca="false">IF($B$4&lt;&gt;"Complete","TBD",IF(J26=0,0,J35/J26))</f>
        <v>4199</v>
      </c>
      <c r="K37" s="47" t="n">
        <f aca="false">IF($B$4&lt;&gt;"Complete","TBD",IF(K26=0,0,K35/K26))</f>
        <v>4199</v>
      </c>
      <c r="L37" s="47" t="n">
        <f aca="false">IF($B$4&lt;&gt;"Complete","TBD",IF(L26=0,0,L35/L26))</f>
        <v>4199</v>
      </c>
      <c r="M37" s="47" t="n">
        <f aca="false">IF($B$4&lt;&gt;"Complete","TBD",IF(M26=0,0,M35/M26))</f>
        <v>4199</v>
      </c>
      <c r="N37" s="47" t="n">
        <f aca="false">IF($B$4&lt;&gt;"Complete","TBD",IF(N26=0,0,N35/N26))</f>
        <v>4199</v>
      </c>
      <c r="O37" s="47" t="n">
        <f aca="false">IF($B$4&lt;&gt;"Complete","TBD",IF(O26=0,0,O35/O26))</f>
        <v>4199</v>
      </c>
      <c r="P37" s="47" t="n">
        <f aca="false">IF($B$4&lt;&gt;"Complete","TBD",IF(P26=0,0,P35/P26))</f>
        <v>4199</v>
      </c>
      <c r="Q37" s="47" t="n">
        <f aca="false">IF($B$4&lt;&gt;"Complete","TBD",IF(Q26=0,0,Q35/Q26))</f>
        <v>4199</v>
      </c>
      <c r="R37" s="47" t="n">
        <f aca="false">IF($B$4&lt;&gt;"Complete","TBD",IF(R26=0,0,R35/R26))</f>
        <v>4199</v>
      </c>
      <c r="S37" s="47" t="n">
        <f aca="false">IF($B$4&lt;&gt;"Complete","TBD",IF(S26=0,0,S35/S26))</f>
        <v>4199</v>
      </c>
      <c r="T37" s="47" t="n">
        <f aca="false">IF($B$4&lt;&gt;"Complete","TBD",IF(T26=0,0,T35/T26))</f>
        <v>4199</v>
      </c>
      <c r="U37" s="47" t="n">
        <f aca="false">IF($B$4&lt;&gt;"Complete","TBD",IF(U26=0,0,U35/U26))</f>
        <v>4199</v>
      </c>
      <c r="V37" s="47" t="n">
        <f aca="false">IF($B$4&lt;&gt;"Complete","TBD",IF(V26=0,0,V35/V26))</f>
        <v>4199</v>
      </c>
      <c r="W37" s="47" t="n">
        <f aca="false">IF($B$4&lt;&gt;"Complete","TBD",IF(W26=0,0,W35/W26))</f>
        <v>4199</v>
      </c>
      <c r="X37" s="47" t="n">
        <f aca="false">IF($B$4&lt;&gt;"Complete","TBD",IF(X26=0,0,X35/X26))</f>
        <v>4199</v>
      </c>
      <c r="Y37" s="47" t="n">
        <f aca="false">IF($B$4&lt;&gt;"Complete","TBD",IF(Y26=0,0,Y35/Y26))</f>
        <v>4199</v>
      </c>
      <c r="Z37" s="47" t="n">
        <f aca="false">IF($B$4&lt;&gt;"Complete","TBD",IF(Z26=0,0,Z35/Z26))</f>
        <v>4199</v>
      </c>
    </row>
    <row r="38" customFormat="false" ht="20.25" hidden="false" customHeight="true" outlineLevel="0" collapsed="false">
      <c r="A38" s="10" t="s">
        <v>459</v>
      </c>
      <c r="B38" s="41" t="s">
        <v>460</v>
      </c>
      <c r="C38" s="46" t="n">
        <f aca="false">IF($B$4&lt;&gt;"Complete","TBD",C35)</f>
        <v>19504.5340857197</v>
      </c>
      <c r="D38" s="46" t="n">
        <f aca="false">IF($B$4&lt;&gt;"Complete","TBD",C38+D35)</f>
        <v>58123.5115754446</v>
      </c>
      <c r="E38" s="46" t="n">
        <f aca="false">IF($B$4&lt;&gt;"Complete","TBD",D38+E35)</f>
        <v>115474.643601095</v>
      </c>
      <c r="F38" s="46" t="n">
        <f aca="false">IF($B$4&lt;&gt;"Complete","TBD",E38+F35)</f>
        <v>191183.287071951</v>
      </c>
      <c r="G38" s="46" t="n">
        <f aca="false">IF($B$4&lt;&gt;"Complete","TBD",F38+G35)</f>
        <v>284882.291759111</v>
      </c>
      <c r="H38" s="46" t="n">
        <f aca="false">IF($B$4&lt;&gt;"Complete","TBD",G38+H35)</f>
        <v>396211.850438246</v>
      </c>
      <c r="I38" s="46" t="n">
        <f aca="false">IF($B$4&lt;&gt;"Complete","TBD",H38+I35)</f>
        <v>524819.352029519</v>
      </c>
      <c r="J38" s="46" t="n">
        <f aca="false">IF($B$4&lt;&gt;"Complete","TBD",I38+J35)</f>
        <v>670359.237674686</v>
      </c>
      <c r="K38" s="46" t="n">
        <f aca="false">IF($B$4&lt;&gt;"Complete","TBD",J38+K35)</f>
        <v>832492.859692669</v>
      </c>
      <c r="L38" s="46" t="n">
        <f aca="false">IF($B$4&lt;&gt;"Complete","TBD",K38+L35)</f>
        <v>1010888.34335601</v>
      </c>
      <c r="M38" s="46" t="n">
        <f aca="false">IF($B$4&lt;&gt;"Complete","TBD",L38+M35)</f>
        <v>1205220.45143181</v>
      </c>
      <c r="N38" s="46" t="n">
        <f aca="false">IF($B$4&lt;&gt;"Complete","TBD",M38+N35)</f>
        <v>1415170.45143181</v>
      </c>
      <c r="O38" s="46" t="n">
        <f aca="false">IF($B$4&lt;&gt;"Complete","TBD",N38+O35)</f>
        <v>1640425.98551753</v>
      </c>
      <c r="P38" s="46" t="n">
        <f aca="false">IF($B$4&lt;&gt;"Complete","TBD",O38+P35)</f>
        <v>1880680.94300725</v>
      </c>
      <c r="Q38" s="46" t="n">
        <f aca="false">IF($B$4&lt;&gt;"Complete","TBD",P38+Q35)</f>
        <v>2135635.3354329</v>
      </c>
      <c r="R38" s="46" t="n">
        <f aca="false">IF($B$4&lt;&gt;"Complete","TBD",Q38+R35)</f>
        <v>2404995.17409576</v>
      </c>
      <c r="S38" s="46" t="n">
        <f aca="false">IF($B$4&lt;&gt;"Complete","TBD",R38+S35)</f>
        <v>2688472.35007108</v>
      </c>
      <c r="T38" s="46" t="n">
        <f aca="false">IF($B$4&lt;&gt;"Complete","TBD",S38+T35)</f>
        <v>2985784.51661261</v>
      </c>
      <c r="U38" s="46" t="n">
        <f aca="false">IF($B$4&lt;&gt;"Complete","TBD",T38+U35)</f>
        <v>3296654.97390903</v>
      </c>
      <c r="V38" s="46" t="n">
        <f aca="false">IF($B$4&lt;&gt;"Complete","TBD",U38+V35)</f>
        <v>3620812.55614525</v>
      </c>
      <c r="W38" s="46" t="n">
        <f aca="false">IF($B$4&lt;&gt;"Complete","TBD",V38+W35)</f>
        <v>3957991.52082245</v>
      </c>
      <c r="X38" s="46" t="n">
        <f aca="false">IF($B$4&lt;&gt;"Complete","TBD",W38+X35)</f>
        <v>4307931.44029184</v>
      </c>
      <c r="Y38" s="46" t="n">
        <f aca="false">IF($B$4&lt;&gt;"Complete","TBD",X38+Y35)</f>
        <v>4670377.09545755</v>
      </c>
      <c r="Z38" s="46" t="n">
        <f aca="false">IF($B$4&lt;&gt;"Complete","TBD",Y38+Z35)</f>
        <v>5045078.37160567</v>
      </c>
    </row>
    <row r="40" customFormat="false" ht="24" hidden="false" customHeight="true" outlineLevel="0" collapsed="false">
      <c r="A40" s="11" t="s">
        <v>461</v>
      </c>
      <c r="B40" s="12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</row>
    <row r="41" customFormat="false" ht="27.75" hidden="false" customHeight="true" outlineLevel="0" collapsed="false">
      <c r="A41" s="6" t="s">
        <v>462</v>
      </c>
      <c r="B41" s="6" t="s">
        <v>30</v>
      </c>
    </row>
    <row r="42" customFormat="false" ht="20.25" hidden="false" customHeight="true" outlineLevel="0" collapsed="false">
      <c r="A42" s="8" t="s">
        <v>463</v>
      </c>
      <c r="B42" s="49" t="n">
        <f aca="false">IF($B$4&lt;&gt;"Complete","TBD",SUM(C35:N35))</f>
        <v>1415170.45143181</v>
      </c>
    </row>
    <row r="43" customFormat="false" ht="20.25" hidden="false" customHeight="true" outlineLevel="0" collapsed="false">
      <c r="A43" s="10" t="s">
        <v>464</v>
      </c>
      <c r="B43" s="50" t="n">
        <f aca="false">IF($B$4&lt;&gt;"Complete","TBD",SUM(O35:Z35))</f>
        <v>3629907.92017387</v>
      </c>
    </row>
    <row r="44" customFormat="false" ht="20.25" hidden="false" customHeight="true" outlineLevel="0" collapsed="false">
      <c r="A44" s="8" t="s">
        <v>465</v>
      </c>
      <c r="B44" s="49" t="n">
        <f aca="false">IF($B$4&lt;&gt;"Complete","TBD",N36)</f>
        <v>2519400</v>
      </c>
    </row>
    <row r="45" customFormat="false" ht="20.25" hidden="false" customHeight="true" outlineLevel="0" collapsed="false">
      <c r="A45" s="10" t="s">
        <v>53</v>
      </c>
      <c r="B45" s="50" t="n">
        <f aca="false">IF($B$4&lt;&gt;"Complete","TBD",Z36)</f>
        <v>4496415.31377745</v>
      </c>
    </row>
    <row r="46" customFormat="false" ht="20.25" hidden="false" customHeight="true" outlineLevel="0" collapsed="false">
      <c r="A46" s="8" t="s">
        <v>466</v>
      </c>
      <c r="B46" s="51" t="n">
        <f aca="false">IF($B$4&lt;&gt;"Complete","TBD",Z26)</f>
        <v>89.23583618674</v>
      </c>
    </row>
    <row r="47" customFormat="false" ht="33" hidden="false" customHeight="true" outlineLevel="0" collapsed="false">
      <c r="A47" s="10" t="s">
        <v>467</v>
      </c>
      <c r="B47" s="52" t="n">
        <f aca="false">IF($B$4&lt;&gt;"Complete","TBD",(1-$B$11)^12)</f>
        <v>0.7847167237348</v>
      </c>
    </row>
    <row r="48" customFormat="false" ht="33" hidden="false" customHeight="true" outlineLevel="0" collapsed="false">
      <c r="A48" s="8" t="s">
        <v>468</v>
      </c>
      <c r="B48" s="53" t="n">
        <f aca="false">IF($B$4&lt;&gt;"Complete","TBD",(1-$B$11)^12*(1+$B$13)^12)</f>
        <v>0.7847167237348</v>
      </c>
    </row>
    <row r="49" customFormat="false" ht="20.25" hidden="false" customHeight="true" outlineLevel="0" collapsed="false">
      <c r="A49" s="10" t="s">
        <v>469</v>
      </c>
      <c r="B49" s="54" t="n">
        <f aca="false">IF($B$4&lt;&gt;"Complete","TBD",IF(Z28=0,0,Z35/Z28))</f>
        <v>4199</v>
      </c>
    </row>
    <row r="50" customFormat="false" ht="15" hidden="false" customHeight="false" outlineLevel="0" collapsed="false">
      <c r="A50" s="8" t="s">
        <v>470</v>
      </c>
      <c r="B50" s="49" t="n">
        <f aca="false">IF($B$4&lt;&gt;"Complete","TBD",B42*'Assumptions &amp; Sources'!$C$79)</f>
        <v>1015607.20235863</v>
      </c>
    </row>
    <row r="51" customFormat="false" ht="19.5" hidden="false" customHeight="true" outlineLevel="0" collapsed="false">
      <c r="A51" s="28" t="s">
        <v>471</v>
      </c>
      <c r="B51" s="28"/>
      <c r="C51" s="28"/>
      <c r="D51" s="28"/>
      <c r="E51" s="28"/>
      <c r="F51" s="28"/>
      <c r="G51" s="28"/>
      <c r="H51" s="28"/>
      <c r="I51" s="28"/>
      <c r="J51" s="28"/>
      <c r="K51" s="28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</row>
  </sheetData>
  <mergeCells count="3">
    <mergeCell ref="A2:Z2"/>
    <mergeCell ref="C4:L4"/>
    <mergeCell ref="A51:Z51"/>
  </mergeCells>
  <conditionalFormatting sqref="B4">
    <cfRule type="cellIs" priority="2" operator="equal" aboveAverage="0" equalAverage="0" bottom="0" percent="0" rank="0" text="" dxfId="2">
      <formula>"Complete"</formula>
    </cfRule>
    <cfRule type="cellIs" priority="3" operator="equal" aboveAverage="0" equalAverage="0" bottom="0" percent="0" rank="0" text="" dxfId="1">
      <formula>"INCOMPLETE"</formula>
    </cfRule>
  </conditionalFormatting>
  <conditionalFormatting sqref="B5">
    <cfRule type="cellIs" priority="4" operator="equal" aboveAverage="0" equalAverage="0" bottom="0" percent="0" rank="0" text="" dxfId="0">
      <formula>"TBD"</formula>
    </cfRule>
  </conditionalFormatting>
  <conditionalFormatting sqref="B9:B19">
    <cfRule type="cellIs" priority="5" operator="equal" aboveAverage="0" equalAverage="0" bottom="0" percent="0" rank="0" text="" dxfId="0">
      <formula>"TBD"</formula>
    </cfRule>
  </conditionalFormatting>
  <conditionalFormatting sqref="C23:Z38">
    <cfRule type="cellIs" priority="6" operator="equal" aboveAverage="0" equalAverage="0" bottom="0" percent="0" rank="0" text="" dxfId="0">
      <formula>"TBD"</formula>
    </cfRule>
  </conditionalFormatting>
  <conditionalFormatting sqref="B42:B49">
    <cfRule type="cellIs" priority="7" operator="equal" aboveAverage="0" equalAverage="0" bottom="0" percent="0" rank="0" text="" dxfId="0">
      <formula>"TBD"</formula>
    </cfRule>
  </conditionalFormatting>
  <printOptions headings="false" gridLines="false" gridLinesSet="true" horizontalCentered="false" verticalCentered="false"/>
  <pageMargins left="0.4" right="0.4" top="0.5" bottom="0.5" header="0.511811023622047" footer="0.511805555555556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&amp;K64748bEDGE.MEM · GTM Pricing&amp;C&amp;8 &amp;K64748b&amp;A&amp;R&amp;8 &amp;K64748bPage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11D48"/>
    <pageSetUpPr fitToPage="true"/>
  </sheetPr>
  <dimension ref="A1:R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30"/>
    <col collapsed="false" customWidth="true" hidden="false" outlineLevel="0" max="3" min="3" style="1" width="22"/>
    <col collapsed="false" customWidth="true" hidden="false" outlineLevel="0" max="4" min="4" style="1" width="30"/>
    <col collapsed="false" customWidth="true" hidden="false" outlineLevel="0" max="5" min="5" style="1" width="34"/>
    <col collapsed="false" customWidth="true" hidden="false" outlineLevel="0" max="6" min="6" style="1" width="26"/>
    <col collapsed="false" customWidth="true" hidden="false" outlineLevel="0" max="12" min="7" style="1" width="8"/>
    <col collapsed="false" customWidth="true" hidden="false" outlineLevel="0" max="14" min="13" style="1" width="40"/>
    <col collapsed="false" customWidth="true" hidden="false" outlineLevel="0" max="15" min="15" style="1" width="20"/>
    <col collapsed="false" customWidth="true" hidden="false" outlineLevel="0" max="16" min="16" style="1" width="14"/>
    <col collapsed="false" customWidth="true" hidden="false" outlineLevel="0" max="17" min="17" style="1" width="12"/>
    <col collapsed="false" customWidth="true" hidden="false" outlineLevel="0" max="18" min="18" style="1" width="48"/>
  </cols>
  <sheetData>
    <row r="1" customFormat="false" ht="36" hidden="false" customHeight="true" outlineLevel="0" collapsed="false">
      <c r="A1" s="2" t="s">
        <v>472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customFormat="false" ht="24.75" hidden="false" customHeight="true" outlineLevel="0" collapsed="false">
      <c r="A2" s="4" t="s">
        <v>473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</row>
    <row r="3" customFormat="false" ht="3.75" hidden="false" customHeight="true" outlineLevel="0" collapsed="false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</row>
    <row r="4" customFormat="false" ht="51" hidden="false" customHeight="true" outlineLevel="0" collapsed="false">
      <c r="A4" s="6" t="s">
        <v>57</v>
      </c>
      <c r="B4" s="6" t="s">
        <v>474</v>
      </c>
      <c r="C4" s="6" t="s">
        <v>475</v>
      </c>
      <c r="D4" s="6" t="s">
        <v>8</v>
      </c>
      <c r="E4" s="6" t="s">
        <v>476</v>
      </c>
      <c r="F4" s="6" t="s">
        <v>477</v>
      </c>
      <c r="G4" s="6" t="s">
        <v>478</v>
      </c>
      <c r="H4" s="6" t="s">
        <v>479</v>
      </c>
      <c r="I4" s="6" t="s">
        <v>480</v>
      </c>
      <c r="J4" s="6" t="s">
        <v>481</v>
      </c>
      <c r="K4" s="6" t="s">
        <v>482</v>
      </c>
      <c r="L4" s="6" t="s">
        <v>483</v>
      </c>
      <c r="M4" s="6" t="s">
        <v>484</v>
      </c>
      <c r="N4" s="6" t="s">
        <v>485</v>
      </c>
      <c r="O4" s="6" t="s">
        <v>357</v>
      </c>
      <c r="P4" s="6" t="s">
        <v>486</v>
      </c>
      <c r="Q4" s="6" t="s">
        <v>487</v>
      </c>
      <c r="R4" s="6" t="s">
        <v>488</v>
      </c>
    </row>
    <row r="5" customFormat="false" ht="147.75" hidden="false" customHeight="true" outlineLevel="0" collapsed="false">
      <c r="A5" s="8" t="s">
        <v>489</v>
      </c>
      <c r="B5" s="8" t="s">
        <v>490</v>
      </c>
      <c r="C5" s="8" t="s">
        <v>491</v>
      </c>
      <c r="D5" s="8" t="s">
        <v>492</v>
      </c>
      <c r="E5" s="8" t="s">
        <v>493</v>
      </c>
      <c r="F5" s="8" t="s">
        <v>494</v>
      </c>
      <c r="G5" s="55" t="s">
        <v>495</v>
      </c>
      <c r="H5" s="55" t="s">
        <v>495</v>
      </c>
      <c r="I5" s="55" t="s">
        <v>495</v>
      </c>
      <c r="J5" s="55" t="s">
        <v>496</v>
      </c>
      <c r="K5" s="55" t="s">
        <v>496</v>
      </c>
      <c r="L5" s="55" t="s">
        <v>496</v>
      </c>
      <c r="M5" s="8" t="s">
        <v>497</v>
      </c>
      <c r="N5" s="8" t="s">
        <v>498</v>
      </c>
      <c r="O5" s="8" t="s">
        <v>499</v>
      </c>
      <c r="P5" s="8" t="s">
        <v>500</v>
      </c>
      <c r="Q5" s="8" t="s">
        <v>501</v>
      </c>
      <c r="R5" s="8" t="s">
        <v>502</v>
      </c>
    </row>
    <row r="6" customFormat="false" ht="122.25" hidden="false" customHeight="true" outlineLevel="0" collapsed="false">
      <c r="A6" s="10" t="s">
        <v>503</v>
      </c>
      <c r="B6" s="10" t="s">
        <v>504</v>
      </c>
      <c r="C6" s="10" t="s">
        <v>505</v>
      </c>
      <c r="D6" s="10" t="s">
        <v>506</v>
      </c>
      <c r="E6" s="10" t="s">
        <v>507</v>
      </c>
      <c r="F6" s="10" t="s">
        <v>508</v>
      </c>
      <c r="G6" s="56" t="s">
        <v>495</v>
      </c>
      <c r="H6" s="56" t="s">
        <v>495</v>
      </c>
      <c r="I6" s="56" t="s">
        <v>495</v>
      </c>
      <c r="J6" s="56" t="s">
        <v>496</v>
      </c>
      <c r="K6" s="56" t="s">
        <v>496</v>
      </c>
      <c r="L6" s="56" t="s">
        <v>496</v>
      </c>
      <c r="M6" s="10" t="s">
        <v>509</v>
      </c>
      <c r="N6" s="10" t="s">
        <v>510</v>
      </c>
      <c r="O6" s="10" t="s">
        <v>511</v>
      </c>
      <c r="P6" s="10" t="s">
        <v>512</v>
      </c>
      <c r="Q6" s="10" t="s">
        <v>501</v>
      </c>
      <c r="R6" s="10" t="s">
        <v>513</v>
      </c>
    </row>
    <row r="7" customFormat="false" ht="84" hidden="false" customHeight="true" outlineLevel="0" collapsed="false">
      <c r="A7" s="8" t="s">
        <v>514</v>
      </c>
      <c r="B7" s="8" t="s">
        <v>515</v>
      </c>
      <c r="C7" s="8" t="s">
        <v>505</v>
      </c>
      <c r="D7" s="8" t="s">
        <v>516</v>
      </c>
      <c r="E7" s="8" t="s">
        <v>517</v>
      </c>
      <c r="F7" s="8" t="s">
        <v>518</v>
      </c>
      <c r="G7" s="55" t="s">
        <v>495</v>
      </c>
      <c r="H7" s="55" t="s">
        <v>496</v>
      </c>
      <c r="I7" s="55" t="s">
        <v>495</v>
      </c>
      <c r="J7" s="55" t="s">
        <v>496</v>
      </c>
      <c r="K7" s="55" t="s">
        <v>495</v>
      </c>
      <c r="L7" s="55" t="s">
        <v>496</v>
      </c>
      <c r="M7" s="8" t="s">
        <v>519</v>
      </c>
      <c r="N7" s="8" t="s">
        <v>520</v>
      </c>
      <c r="O7" s="8" t="s">
        <v>499</v>
      </c>
      <c r="P7" s="8" t="s">
        <v>521</v>
      </c>
      <c r="Q7" s="8" t="s">
        <v>501</v>
      </c>
      <c r="R7" s="8" t="s">
        <v>522</v>
      </c>
    </row>
    <row r="8" customFormat="false" ht="109.5" hidden="false" customHeight="true" outlineLevel="0" collapsed="false">
      <c r="A8" s="10" t="s">
        <v>523</v>
      </c>
      <c r="B8" s="10" t="s">
        <v>524</v>
      </c>
      <c r="C8" s="10" t="s">
        <v>505</v>
      </c>
      <c r="D8" s="10" t="s">
        <v>525</v>
      </c>
      <c r="E8" s="10" t="s">
        <v>526</v>
      </c>
      <c r="F8" s="10" t="s">
        <v>527</v>
      </c>
      <c r="G8" s="56" t="s">
        <v>495</v>
      </c>
      <c r="H8" s="56" t="s">
        <v>496</v>
      </c>
      <c r="I8" s="56" t="s">
        <v>495</v>
      </c>
      <c r="J8" s="56" t="s">
        <v>496</v>
      </c>
      <c r="K8" s="56" t="s">
        <v>495</v>
      </c>
      <c r="L8" s="56" t="s">
        <v>496</v>
      </c>
      <c r="M8" s="10" t="s">
        <v>528</v>
      </c>
      <c r="N8" s="10" t="s">
        <v>529</v>
      </c>
      <c r="O8" s="10" t="s">
        <v>499</v>
      </c>
      <c r="P8" s="10" t="s">
        <v>500</v>
      </c>
      <c r="Q8" s="10" t="s">
        <v>501</v>
      </c>
      <c r="R8" s="10" t="s">
        <v>530</v>
      </c>
    </row>
    <row r="9" customFormat="false" ht="109.5" hidden="false" customHeight="true" outlineLevel="0" collapsed="false">
      <c r="A9" s="8" t="s">
        <v>531</v>
      </c>
      <c r="B9" s="8" t="s">
        <v>532</v>
      </c>
      <c r="C9" s="8" t="s">
        <v>533</v>
      </c>
      <c r="D9" s="8" t="s">
        <v>534</v>
      </c>
      <c r="E9" s="8" t="s">
        <v>535</v>
      </c>
      <c r="F9" s="8" t="s">
        <v>536</v>
      </c>
      <c r="G9" s="55" t="s">
        <v>535</v>
      </c>
      <c r="H9" s="55" t="s">
        <v>535</v>
      </c>
      <c r="I9" s="55" t="s">
        <v>537</v>
      </c>
      <c r="J9" s="55" t="s">
        <v>535</v>
      </c>
      <c r="K9" s="55" t="s">
        <v>535</v>
      </c>
      <c r="L9" s="55" t="s">
        <v>535</v>
      </c>
      <c r="M9" s="8" t="s">
        <v>538</v>
      </c>
      <c r="N9" s="8" t="s">
        <v>539</v>
      </c>
      <c r="O9" s="8" t="s">
        <v>540</v>
      </c>
      <c r="P9" s="8" t="s">
        <v>512</v>
      </c>
      <c r="Q9" s="8" t="s">
        <v>501</v>
      </c>
      <c r="R9" s="8" t="s">
        <v>541</v>
      </c>
    </row>
    <row r="10" customFormat="false" ht="71.25" hidden="false" customHeight="true" outlineLevel="0" collapsed="false">
      <c r="A10" s="10" t="s">
        <v>542</v>
      </c>
      <c r="B10" s="10" t="s">
        <v>543</v>
      </c>
      <c r="C10" s="10" t="s">
        <v>544</v>
      </c>
      <c r="D10" s="10" t="s">
        <v>545</v>
      </c>
      <c r="E10" s="10" t="s">
        <v>546</v>
      </c>
      <c r="F10" s="10" t="s">
        <v>547</v>
      </c>
      <c r="G10" s="56" t="s">
        <v>495</v>
      </c>
      <c r="H10" s="56" t="s">
        <v>495</v>
      </c>
      <c r="I10" s="56" t="s">
        <v>548</v>
      </c>
      <c r="J10" s="56" t="s">
        <v>548</v>
      </c>
      <c r="K10" s="56" t="s">
        <v>548</v>
      </c>
      <c r="L10" s="56" t="s">
        <v>496</v>
      </c>
      <c r="M10" s="10" t="s">
        <v>549</v>
      </c>
      <c r="N10" s="10" t="s">
        <v>550</v>
      </c>
      <c r="O10" s="10" t="s">
        <v>551</v>
      </c>
      <c r="P10" s="10" t="s">
        <v>552</v>
      </c>
      <c r="Q10" s="10" t="s">
        <v>501</v>
      </c>
      <c r="R10" s="10" t="s">
        <v>553</v>
      </c>
    </row>
    <row r="11" customFormat="false" ht="45.75" hidden="false" customHeight="true" outlineLevel="0" collapsed="false">
      <c r="A11" s="8" t="s">
        <v>554</v>
      </c>
      <c r="B11" s="8" t="s">
        <v>555</v>
      </c>
      <c r="C11" s="8" t="s">
        <v>544</v>
      </c>
      <c r="D11" s="8" t="s">
        <v>556</v>
      </c>
      <c r="E11" s="8" t="s">
        <v>496</v>
      </c>
      <c r="F11" s="8" t="s">
        <v>557</v>
      </c>
      <c r="G11" s="55" t="s">
        <v>495</v>
      </c>
      <c r="H11" s="55" t="s">
        <v>548</v>
      </c>
      <c r="I11" s="55" t="s">
        <v>548</v>
      </c>
      <c r="J11" s="55" t="s">
        <v>548</v>
      </c>
      <c r="K11" s="55" t="s">
        <v>548</v>
      </c>
      <c r="L11" s="55" t="s">
        <v>496</v>
      </c>
      <c r="M11" s="8" t="s">
        <v>558</v>
      </c>
      <c r="N11" s="8" t="s">
        <v>559</v>
      </c>
      <c r="O11" s="8" t="s">
        <v>560</v>
      </c>
      <c r="P11" s="8" t="s">
        <v>561</v>
      </c>
      <c r="Q11" s="8" t="s">
        <v>501</v>
      </c>
      <c r="R11" s="8" t="s">
        <v>562</v>
      </c>
    </row>
    <row r="12" customFormat="false" ht="71.25" hidden="false" customHeight="true" outlineLevel="0" collapsed="false">
      <c r="A12" s="10" t="s">
        <v>563</v>
      </c>
      <c r="B12" s="10" t="s">
        <v>564</v>
      </c>
      <c r="C12" s="10" t="s">
        <v>544</v>
      </c>
      <c r="D12" s="10" t="s">
        <v>565</v>
      </c>
      <c r="E12" s="10" t="s">
        <v>566</v>
      </c>
      <c r="F12" s="10" t="s">
        <v>567</v>
      </c>
      <c r="G12" s="56" t="s">
        <v>495</v>
      </c>
      <c r="H12" s="56" t="s">
        <v>495</v>
      </c>
      <c r="I12" s="56" t="s">
        <v>568</v>
      </c>
      <c r="J12" s="56" t="s">
        <v>548</v>
      </c>
      <c r="K12" s="56" t="s">
        <v>548</v>
      </c>
      <c r="L12" s="56" t="s">
        <v>496</v>
      </c>
      <c r="M12" s="10" t="s">
        <v>569</v>
      </c>
      <c r="N12" s="10" t="s">
        <v>570</v>
      </c>
      <c r="O12" s="10" t="s">
        <v>499</v>
      </c>
      <c r="P12" s="10" t="s">
        <v>500</v>
      </c>
      <c r="Q12" s="10" t="s">
        <v>501</v>
      </c>
      <c r="R12" s="10" t="s">
        <v>571</v>
      </c>
    </row>
    <row r="13" customFormat="false" ht="45.75" hidden="false" customHeight="true" outlineLevel="0" collapsed="false">
      <c r="A13" s="8" t="s">
        <v>572</v>
      </c>
      <c r="B13" s="8" t="s">
        <v>573</v>
      </c>
      <c r="C13" s="8" t="s">
        <v>544</v>
      </c>
      <c r="D13" s="8" t="s">
        <v>574</v>
      </c>
      <c r="E13" s="8" t="s">
        <v>566</v>
      </c>
      <c r="F13" s="8" t="s">
        <v>575</v>
      </c>
      <c r="G13" s="55" t="s">
        <v>495</v>
      </c>
      <c r="H13" s="55" t="s">
        <v>496</v>
      </c>
      <c r="I13" s="55" t="s">
        <v>548</v>
      </c>
      <c r="J13" s="55" t="s">
        <v>548</v>
      </c>
      <c r="K13" s="55" t="s">
        <v>548</v>
      </c>
      <c r="L13" s="55" t="s">
        <v>496</v>
      </c>
      <c r="M13" s="8" t="s">
        <v>576</v>
      </c>
      <c r="N13" s="8" t="s">
        <v>577</v>
      </c>
      <c r="O13" s="8" t="s">
        <v>499</v>
      </c>
      <c r="P13" s="8" t="s">
        <v>500</v>
      </c>
      <c r="Q13" s="8" t="s">
        <v>501</v>
      </c>
      <c r="R13" s="8" t="s">
        <v>578</v>
      </c>
    </row>
    <row r="14" customFormat="false" ht="122.25" hidden="false" customHeight="true" outlineLevel="0" collapsed="false">
      <c r="A14" s="10" t="s">
        <v>579</v>
      </c>
      <c r="B14" s="10" t="s">
        <v>380</v>
      </c>
      <c r="C14" s="10" t="s">
        <v>580</v>
      </c>
      <c r="D14" s="10" t="s">
        <v>581</v>
      </c>
      <c r="E14" s="10" t="s">
        <v>582</v>
      </c>
      <c r="F14" s="10" t="s">
        <v>583</v>
      </c>
      <c r="G14" s="56" t="s">
        <v>495</v>
      </c>
      <c r="H14" s="56" t="s">
        <v>496</v>
      </c>
      <c r="I14" s="56" t="s">
        <v>496</v>
      </c>
      <c r="J14" s="56" t="s">
        <v>496</v>
      </c>
      <c r="K14" s="56" t="s">
        <v>496</v>
      </c>
      <c r="L14" s="56" t="s">
        <v>496</v>
      </c>
      <c r="M14" s="10" t="s">
        <v>584</v>
      </c>
      <c r="N14" s="10" t="s">
        <v>585</v>
      </c>
      <c r="O14" s="10" t="s">
        <v>586</v>
      </c>
      <c r="P14" s="10" t="s">
        <v>512</v>
      </c>
      <c r="Q14" s="10" t="s">
        <v>501</v>
      </c>
      <c r="R14" s="10" t="s">
        <v>587</v>
      </c>
    </row>
    <row r="15" customFormat="false" ht="84" hidden="false" customHeight="true" outlineLevel="0" collapsed="false">
      <c r="A15" s="8" t="s">
        <v>588</v>
      </c>
      <c r="B15" s="8" t="s">
        <v>589</v>
      </c>
      <c r="C15" s="8" t="s">
        <v>590</v>
      </c>
      <c r="D15" s="8" t="s">
        <v>591</v>
      </c>
      <c r="E15" s="8" t="s">
        <v>376</v>
      </c>
      <c r="F15" s="8" t="s">
        <v>592</v>
      </c>
      <c r="G15" s="55" t="s">
        <v>535</v>
      </c>
      <c r="H15" s="55" t="s">
        <v>535</v>
      </c>
      <c r="I15" s="55" t="s">
        <v>535</v>
      </c>
      <c r="J15" s="55" t="s">
        <v>535</v>
      </c>
      <c r="K15" s="55" t="s">
        <v>535</v>
      </c>
      <c r="L15" s="55" t="s">
        <v>495</v>
      </c>
      <c r="M15" s="8" t="s">
        <v>593</v>
      </c>
      <c r="N15" s="8" t="s">
        <v>594</v>
      </c>
      <c r="O15" s="8" t="s">
        <v>595</v>
      </c>
      <c r="P15" s="8" t="s">
        <v>596</v>
      </c>
      <c r="Q15" s="8" t="s">
        <v>501</v>
      </c>
      <c r="R15" s="8" t="s">
        <v>597</v>
      </c>
    </row>
    <row r="16" customFormat="false" ht="84" hidden="false" customHeight="true" outlineLevel="0" collapsed="false">
      <c r="A16" s="10" t="s">
        <v>598</v>
      </c>
      <c r="B16" s="10" t="s">
        <v>599</v>
      </c>
      <c r="C16" s="10" t="s">
        <v>600</v>
      </c>
      <c r="D16" s="10" t="s">
        <v>601</v>
      </c>
      <c r="E16" s="10" t="s">
        <v>496</v>
      </c>
      <c r="F16" s="10" t="s">
        <v>602</v>
      </c>
      <c r="G16" s="56" t="s">
        <v>535</v>
      </c>
      <c r="H16" s="56" t="s">
        <v>535</v>
      </c>
      <c r="I16" s="56" t="s">
        <v>535</v>
      </c>
      <c r="J16" s="56" t="s">
        <v>535</v>
      </c>
      <c r="K16" s="56" t="s">
        <v>535</v>
      </c>
      <c r="L16" s="56" t="s">
        <v>496</v>
      </c>
      <c r="M16" s="10" t="s">
        <v>603</v>
      </c>
      <c r="N16" s="10" t="s">
        <v>604</v>
      </c>
      <c r="O16" s="10" t="s">
        <v>605</v>
      </c>
      <c r="P16" s="10" t="s">
        <v>561</v>
      </c>
      <c r="Q16" s="10" t="s">
        <v>501</v>
      </c>
      <c r="R16" s="10" t="s">
        <v>606</v>
      </c>
    </row>
    <row r="17" customFormat="false" ht="71.25" hidden="false" customHeight="true" outlineLevel="0" collapsed="false">
      <c r="A17" s="8" t="s">
        <v>607</v>
      </c>
      <c r="B17" s="8" t="s">
        <v>608</v>
      </c>
      <c r="C17" s="8" t="s">
        <v>600</v>
      </c>
      <c r="D17" s="8" t="s">
        <v>609</v>
      </c>
      <c r="E17" s="8" t="s">
        <v>496</v>
      </c>
      <c r="F17" s="8" t="s">
        <v>610</v>
      </c>
      <c r="G17" s="55" t="s">
        <v>535</v>
      </c>
      <c r="H17" s="55" t="s">
        <v>535</v>
      </c>
      <c r="I17" s="55" t="s">
        <v>535</v>
      </c>
      <c r="J17" s="55" t="s">
        <v>535</v>
      </c>
      <c r="K17" s="55" t="s">
        <v>535</v>
      </c>
      <c r="L17" s="55" t="s">
        <v>496</v>
      </c>
      <c r="M17" s="8" t="s">
        <v>611</v>
      </c>
      <c r="N17" s="8" t="s">
        <v>612</v>
      </c>
      <c r="O17" s="8" t="s">
        <v>613</v>
      </c>
      <c r="P17" s="8" t="s">
        <v>561</v>
      </c>
      <c r="Q17" s="8" t="s">
        <v>501</v>
      </c>
      <c r="R17" s="8" t="s">
        <v>614</v>
      </c>
    </row>
    <row r="18" customFormat="false" ht="58.5" hidden="false" customHeight="true" outlineLevel="0" collapsed="false">
      <c r="A18" s="10" t="s">
        <v>615</v>
      </c>
      <c r="B18" s="10" t="s">
        <v>616</v>
      </c>
      <c r="C18" s="10" t="s">
        <v>600</v>
      </c>
      <c r="D18" s="10" t="s">
        <v>617</v>
      </c>
      <c r="E18" s="10" t="s">
        <v>496</v>
      </c>
      <c r="F18" s="10" t="s">
        <v>602</v>
      </c>
      <c r="G18" s="56" t="s">
        <v>535</v>
      </c>
      <c r="H18" s="56" t="s">
        <v>535</v>
      </c>
      <c r="I18" s="56" t="s">
        <v>535</v>
      </c>
      <c r="J18" s="56" t="s">
        <v>535</v>
      </c>
      <c r="K18" s="56" t="s">
        <v>535</v>
      </c>
      <c r="L18" s="56" t="s">
        <v>495</v>
      </c>
      <c r="M18" s="10" t="s">
        <v>618</v>
      </c>
      <c r="N18" s="10" t="s">
        <v>619</v>
      </c>
      <c r="O18" s="10" t="s">
        <v>605</v>
      </c>
      <c r="P18" s="10" t="s">
        <v>561</v>
      </c>
      <c r="Q18" s="10" t="s">
        <v>501</v>
      </c>
      <c r="R18" s="10" t="s">
        <v>620</v>
      </c>
    </row>
    <row r="19" customFormat="false" ht="33" hidden="false" customHeight="true" outlineLevel="0" collapsed="false">
      <c r="A19" s="8" t="s">
        <v>621</v>
      </c>
      <c r="B19" s="8" t="s">
        <v>622</v>
      </c>
      <c r="C19" s="8" t="s">
        <v>600</v>
      </c>
      <c r="D19" s="8" t="s">
        <v>623</v>
      </c>
      <c r="E19" s="8" t="s">
        <v>496</v>
      </c>
      <c r="F19" s="8" t="s">
        <v>602</v>
      </c>
      <c r="G19" s="55" t="s">
        <v>535</v>
      </c>
      <c r="H19" s="55" t="s">
        <v>535</v>
      </c>
      <c r="I19" s="55" t="s">
        <v>535</v>
      </c>
      <c r="J19" s="55" t="s">
        <v>535</v>
      </c>
      <c r="K19" s="55" t="s">
        <v>535</v>
      </c>
      <c r="L19" s="55" t="s">
        <v>495</v>
      </c>
      <c r="M19" s="8" t="s">
        <v>624</v>
      </c>
      <c r="N19" s="8" t="s">
        <v>625</v>
      </c>
      <c r="O19" s="8" t="s">
        <v>626</v>
      </c>
      <c r="P19" s="8" t="s">
        <v>561</v>
      </c>
      <c r="Q19" s="8" t="s">
        <v>501</v>
      </c>
      <c r="R19" s="8" t="s">
        <v>627</v>
      </c>
    </row>
    <row r="20" customFormat="false" ht="71.25" hidden="false" customHeight="true" outlineLevel="0" collapsed="false">
      <c r="A20" s="10" t="s">
        <v>628</v>
      </c>
      <c r="B20" s="10" t="s">
        <v>629</v>
      </c>
      <c r="C20" s="10" t="s">
        <v>630</v>
      </c>
      <c r="D20" s="10" t="s">
        <v>631</v>
      </c>
      <c r="E20" s="10" t="s">
        <v>535</v>
      </c>
      <c r="F20" s="10" t="s">
        <v>632</v>
      </c>
      <c r="G20" s="56" t="s">
        <v>495</v>
      </c>
      <c r="H20" s="56" t="s">
        <v>495</v>
      </c>
      <c r="I20" s="56" t="s">
        <v>495</v>
      </c>
      <c r="J20" s="56" t="s">
        <v>495</v>
      </c>
      <c r="K20" s="56" t="s">
        <v>495</v>
      </c>
      <c r="L20" s="56" t="s">
        <v>495</v>
      </c>
      <c r="M20" s="10" t="s">
        <v>633</v>
      </c>
      <c r="N20" s="10"/>
      <c r="O20" s="10" t="s">
        <v>634</v>
      </c>
      <c r="P20" s="10" t="s">
        <v>500</v>
      </c>
      <c r="Q20" s="10" t="s">
        <v>501</v>
      </c>
      <c r="R20" s="10" t="s">
        <v>635</v>
      </c>
    </row>
    <row r="22" customFormat="false" ht="24" hidden="false" customHeight="true" outlineLevel="0" collapsed="false">
      <c r="A22" s="11" t="s">
        <v>636</v>
      </c>
      <c r="B22" s="12"/>
      <c r="C22" s="12"/>
      <c r="D22" s="12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customFormat="false" ht="27.75" hidden="false" customHeight="true" outlineLevel="0" collapsed="false">
      <c r="A23" s="17"/>
      <c r="B23" s="6" t="s">
        <v>29</v>
      </c>
      <c r="C23" s="6" t="s">
        <v>637</v>
      </c>
    </row>
    <row r="24" customFormat="false" ht="20.25" hidden="false" customHeight="true" outlineLevel="0" collapsed="false">
      <c r="A24" s="57"/>
      <c r="B24" s="8" t="s">
        <v>638</v>
      </c>
      <c r="C24" s="8" t="n">
        <f aca="false">COUNTA(A5:A20)-COUNTIF(A5:A20,"E00")</f>
        <v>15</v>
      </c>
    </row>
    <row r="25" customFormat="false" ht="20.25" hidden="false" customHeight="true" outlineLevel="0" collapsed="false">
      <c r="A25" s="57"/>
      <c r="B25" s="10" t="s">
        <v>639</v>
      </c>
      <c r="C25" s="10" t="n">
        <f aca="false">COUNTIF(C5:C20,"Direct*")</f>
        <v>4</v>
      </c>
    </row>
    <row r="26" customFormat="false" ht="20.25" hidden="false" customHeight="true" outlineLevel="0" collapsed="false">
      <c r="A26" s="57"/>
      <c r="B26" s="8" t="s">
        <v>640</v>
      </c>
      <c r="C26" s="8" t="n">
        <f aca="false">COUNTIF(C5:C20,"Indirect*")</f>
        <v>5</v>
      </c>
    </row>
    <row r="27" customFormat="false" ht="33" hidden="false" customHeight="true" outlineLevel="0" collapsed="false">
      <c r="A27" s="57"/>
      <c r="B27" s="10" t="s">
        <v>641</v>
      </c>
      <c r="C27" s="10" t="n">
        <f aca="false">COUNTIF(P5:P20,"Low*")</f>
        <v>6</v>
      </c>
    </row>
    <row r="28" customFormat="false" ht="33" hidden="false" customHeight="true" outlineLevel="0" collapsed="false">
      <c r="A28" s="57"/>
      <c r="B28" s="8" t="s">
        <v>642</v>
      </c>
      <c r="C28" s="8" t="n">
        <f aca="false">COUNTIFS(I5:I20,"Y",A5:A20,"&lt;&gt;E00")</f>
        <v>4</v>
      </c>
    </row>
    <row r="29" customFormat="false" ht="33" hidden="false" customHeight="true" outlineLevel="0" collapsed="false">
      <c r="A29" s="57"/>
      <c r="B29" s="10" t="s">
        <v>643</v>
      </c>
      <c r="C29" s="10" t="n">
        <f aca="false">COUNTIFS(K5:K20,"Y",A5:A20,"&lt;&gt;E00")</f>
        <v>2</v>
      </c>
    </row>
  </sheetData>
  <autoFilter ref="A4:R20"/>
  <mergeCells count="1">
    <mergeCell ref="A2:R2"/>
  </mergeCells>
  <conditionalFormatting sqref="G5:L20">
    <cfRule type="cellIs" priority="2" operator="equal" aboveAverage="0" equalAverage="0" bottom="0" percent="0" rank="0" text="" dxfId="2">
      <formula>"Y"</formula>
    </cfRule>
    <cfRule type="cellIs" priority="3" operator="equal" aboveAverage="0" equalAverage="0" bottom="0" percent="0" rank="0" text="" dxfId="1">
      <formula>"N"</formula>
    </cfRule>
    <cfRule type="cellIs" priority="4" operator="equal" aboveAverage="0" equalAverage="0" bottom="0" percent="0" rank="0" text="" dxfId="12">
      <formula>"?"</formula>
    </cfRule>
  </conditionalFormatting>
  <conditionalFormatting sqref="P5:P20">
    <cfRule type="expression" priority="5" aboveAverage="0" equalAverage="0" bottom="0" percent="0" rank="0" text="" dxfId="0">
      <formula>LEFT($P5,3)="Low"</formula>
    </cfRule>
  </conditionalFormatting>
  <printOptions headings="false" gridLines="false" gridLinesSet="true" horizontalCentered="false" verticalCentered="false"/>
  <pageMargins left="0.4" right="0.4" top="0.5" bottom="0.5" header="0.511811023622047" footer="0.511805555555556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&amp;K64748bEDGE.MEM · GTM Pricing&amp;C&amp;8 &amp;K64748b&amp;A&amp;R&amp;8 &amp;K64748bPage &amp;P of &amp;N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97706"/>
    <pageSetUpPr fitToPage="true"/>
  </sheetPr>
  <dimension ref="A1:I8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44"/>
    <col collapsed="false" customWidth="true" hidden="false" outlineLevel="0" max="3" min="3" style="1" width="22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6" min="6" style="1" width="30"/>
    <col collapsed="false" customWidth="true" hidden="false" outlineLevel="0" max="7" min="7" style="1" width="24"/>
    <col collapsed="false" customWidth="true" hidden="false" outlineLevel="0" max="8" min="8" style="1" width="26"/>
    <col collapsed="false" customWidth="true" hidden="false" outlineLevel="0" max="9" min="9" style="1" width="60"/>
  </cols>
  <sheetData>
    <row r="1" customFormat="false" ht="36" hidden="false" customHeight="true" outlineLevel="0" collapsed="false">
      <c r="A1" s="2" t="s">
        <v>22</v>
      </c>
      <c r="B1" s="3"/>
      <c r="C1" s="3"/>
      <c r="D1" s="3"/>
      <c r="E1" s="3"/>
      <c r="F1" s="3"/>
      <c r="G1" s="3"/>
      <c r="H1" s="3"/>
      <c r="I1" s="3"/>
    </row>
    <row r="2" customFormat="false" ht="24.75" hidden="false" customHeight="true" outlineLevel="0" collapsed="false">
      <c r="A2" s="4" t="s">
        <v>644</v>
      </c>
      <c r="B2" s="4"/>
      <c r="C2" s="4"/>
      <c r="D2" s="4"/>
      <c r="E2" s="4"/>
      <c r="F2" s="4"/>
      <c r="G2" s="4"/>
      <c r="H2" s="4"/>
      <c r="I2" s="4"/>
    </row>
    <row r="3" customFormat="false" ht="3.75" hidden="false" customHeight="true" outlineLevel="0" collapsed="false">
      <c r="A3" s="5"/>
      <c r="B3" s="5"/>
      <c r="C3" s="5"/>
      <c r="D3" s="5"/>
      <c r="E3" s="5"/>
      <c r="F3" s="5"/>
      <c r="G3" s="5"/>
      <c r="H3" s="5"/>
      <c r="I3" s="5"/>
    </row>
    <row r="4" customFormat="false" ht="24" hidden="false" customHeight="true" outlineLevel="0" collapsed="false">
      <c r="A4" s="11" t="s">
        <v>645</v>
      </c>
      <c r="B4" s="12"/>
      <c r="C4" s="12"/>
      <c r="D4" s="12"/>
      <c r="E4" s="12"/>
      <c r="F4" s="12"/>
      <c r="G4" s="12"/>
      <c r="H4" s="12"/>
      <c r="I4" s="12"/>
    </row>
    <row r="5" customFormat="false" ht="27.75" hidden="false" customHeight="true" outlineLevel="0" collapsed="false">
      <c r="A5" s="6" t="s">
        <v>57</v>
      </c>
      <c r="B5" s="6" t="s">
        <v>646</v>
      </c>
      <c r="C5" s="6" t="s">
        <v>30</v>
      </c>
      <c r="D5" s="6" t="s">
        <v>356</v>
      </c>
      <c r="E5" s="6" t="s">
        <v>128</v>
      </c>
      <c r="F5" s="6" t="s">
        <v>647</v>
      </c>
      <c r="G5" s="6" t="s">
        <v>648</v>
      </c>
      <c r="H5" s="6" t="s">
        <v>649</v>
      </c>
      <c r="I5" s="6" t="s">
        <v>266</v>
      </c>
    </row>
    <row r="6" customFormat="false" ht="33" hidden="false" customHeight="true" outlineLevel="0" collapsed="false">
      <c r="A6" s="8" t="s">
        <v>650</v>
      </c>
      <c r="B6" s="8" t="s">
        <v>651</v>
      </c>
      <c r="C6" s="21" t="s">
        <v>652</v>
      </c>
      <c r="D6" s="8" t="s">
        <v>653</v>
      </c>
      <c r="E6" s="8" t="s">
        <v>270</v>
      </c>
      <c r="F6" s="8" t="s">
        <v>654</v>
      </c>
      <c r="G6" s="8" t="s">
        <v>655</v>
      </c>
      <c r="H6" s="8" t="s">
        <v>270</v>
      </c>
      <c r="I6" s="8" t="s">
        <v>656</v>
      </c>
    </row>
    <row r="7" customFormat="false" ht="33" hidden="false" customHeight="true" outlineLevel="0" collapsed="false">
      <c r="A7" s="10" t="s">
        <v>657</v>
      </c>
      <c r="B7" s="10" t="s">
        <v>403</v>
      </c>
      <c r="C7" s="58" t="n">
        <v>0</v>
      </c>
      <c r="D7" s="10" t="s">
        <v>441</v>
      </c>
      <c r="E7" s="10" t="s">
        <v>658</v>
      </c>
      <c r="F7" s="10" t="s">
        <v>659</v>
      </c>
      <c r="G7" s="10" t="s">
        <v>659</v>
      </c>
      <c r="H7" s="10" t="s">
        <v>660</v>
      </c>
      <c r="I7" s="10" t="s">
        <v>661</v>
      </c>
    </row>
    <row r="8" customFormat="false" ht="33" hidden="false" customHeight="true" outlineLevel="0" collapsed="false">
      <c r="A8" s="8" t="s">
        <v>662</v>
      </c>
      <c r="B8" s="8" t="s">
        <v>404</v>
      </c>
      <c r="C8" s="58" t="n">
        <f aca="false">IF($C$9=0,$C$53/$C$54,$C$53*$C$9/(1-(1-$C$9)^$C$54))</f>
        <v>4.64504264961173</v>
      </c>
      <c r="D8" s="8" t="s">
        <v>663</v>
      </c>
      <c r="E8" s="8" t="s">
        <v>216</v>
      </c>
      <c r="F8" s="8" t="s">
        <v>664</v>
      </c>
      <c r="G8" s="8" t="s">
        <v>665</v>
      </c>
      <c r="H8" s="8" t="s">
        <v>216</v>
      </c>
      <c r="I8" s="8" t="s">
        <v>666</v>
      </c>
    </row>
    <row r="9" customFormat="false" ht="33" hidden="false" customHeight="true" outlineLevel="0" collapsed="false">
      <c r="A9" s="10" t="s">
        <v>667</v>
      </c>
      <c r="B9" s="10" t="s">
        <v>405</v>
      </c>
      <c r="C9" s="59" t="n">
        <v>0.02</v>
      </c>
      <c r="D9" s="10" t="s">
        <v>668</v>
      </c>
      <c r="E9" s="10" t="s">
        <v>658</v>
      </c>
      <c r="F9" s="10" t="s">
        <v>659</v>
      </c>
      <c r="G9" s="10" t="s">
        <v>659</v>
      </c>
      <c r="H9" s="10" t="s">
        <v>229</v>
      </c>
      <c r="I9" s="10" t="s">
        <v>669</v>
      </c>
    </row>
    <row r="10" customFormat="false" ht="33" hidden="false" customHeight="true" outlineLevel="0" collapsed="false">
      <c r="A10" s="8" t="s">
        <v>670</v>
      </c>
      <c r="B10" s="8" t="s">
        <v>406</v>
      </c>
      <c r="C10" s="58" t="n">
        <v>1</v>
      </c>
      <c r="D10" s="8" t="s">
        <v>671</v>
      </c>
      <c r="E10" s="8" t="s">
        <v>216</v>
      </c>
      <c r="F10" s="8" t="s">
        <v>654</v>
      </c>
      <c r="G10" s="8" t="s">
        <v>672</v>
      </c>
      <c r="H10" s="8" t="s">
        <v>216</v>
      </c>
      <c r="I10" s="8" t="s">
        <v>673</v>
      </c>
    </row>
    <row r="11" customFormat="false" ht="33" hidden="false" customHeight="true" outlineLevel="0" collapsed="false">
      <c r="A11" s="10" t="s">
        <v>674</v>
      </c>
      <c r="B11" s="10" t="s">
        <v>675</v>
      </c>
      <c r="C11" s="59" t="n">
        <v>0</v>
      </c>
      <c r="D11" s="10" t="s">
        <v>676</v>
      </c>
      <c r="E11" s="10" t="s">
        <v>658</v>
      </c>
      <c r="F11" s="10" t="s">
        <v>659</v>
      </c>
      <c r="G11" s="10" t="s">
        <v>659</v>
      </c>
      <c r="H11" s="10" t="s">
        <v>677</v>
      </c>
      <c r="I11" s="10" t="s">
        <v>678</v>
      </c>
    </row>
    <row r="12" customFormat="false" ht="33" hidden="false" customHeight="true" outlineLevel="0" collapsed="false">
      <c r="A12" s="8" t="s">
        <v>679</v>
      </c>
      <c r="B12" s="8" t="s">
        <v>680</v>
      </c>
      <c r="C12" s="59" t="n">
        <v>0.6</v>
      </c>
      <c r="D12" s="8" t="s">
        <v>681</v>
      </c>
      <c r="E12" s="8" t="s">
        <v>658</v>
      </c>
      <c r="F12" s="8" t="s">
        <v>659</v>
      </c>
      <c r="G12" s="8" t="s">
        <v>659</v>
      </c>
      <c r="H12" s="8" t="s">
        <v>229</v>
      </c>
      <c r="I12" s="8" t="s">
        <v>682</v>
      </c>
    </row>
    <row r="13" customFormat="false" ht="33" hidden="false" customHeight="true" outlineLevel="0" collapsed="false">
      <c r="A13" s="10" t="s">
        <v>683</v>
      </c>
      <c r="B13" s="10" t="s">
        <v>684</v>
      </c>
      <c r="C13" s="59" t="n">
        <v>0.3</v>
      </c>
      <c r="D13" s="10" t="s">
        <v>681</v>
      </c>
      <c r="E13" s="10" t="s">
        <v>658</v>
      </c>
      <c r="F13" s="10" t="s">
        <v>659</v>
      </c>
      <c r="G13" s="10" t="s">
        <v>659</v>
      </c>
      <c r="H13" s="10" t="s">
        <v>229</v>
      </c>
      <c r="I13" s="10" t="s">
        <v>685</v>
      </c>
    </row>
    <row r="14" customFormat="false" ht="33" hidden="false" customHeight="true" outlineLevel="0" collapsed="false">
      <c r="A14" s="8" t="s">
        <v>686</v>
      </c>
      <c r="B14" s="8" t="s">
        <v>687</v>
      </c>
      <c r="C14" s="59" t="n">
        <v>0.1</v>
      </c>
      <c r="D14" s="8" t="s">
        <v>681</v>
      </c>
      <c r="E14" s="8" t="s">
        <v>658</v>
      </c>
      <c r="F14" s="8" t="s">
        <v>659</v>
      </c>
      <c r="G14" s="8" t="s">
        <v>659</v>
      </c>
      <c r="H14" s="8" t="s">
        <v>229</v>
      </c>
      <c r="I14" s="8" t="s">
        <v>688</v>
      </c>
    </row>
    <row r="15" customFormat="false" ht="45.75" hidden="false" customHeight="true" outlineLevel="0" collapsed="false">
      <c r="A15" s="10" t="s">
        <v>489</v>
      </c>
      <c r="B15" s="10" t="s">
        <v>689</v>
      </c>
      <c r="C15" s="9" t="str">
        <f aca="false">IF(AND(NOT(ISBLANK(Pricing!$B$6)),COUNT($C$7:$C$11)=5,COUNT($C$12:$C$14)=3,ABS(SUM($C$12:$C$14)-1)&lt;0.0001,SUMPRODUCT(($C$12:$C$14&gt;0)*(1-ISNUMBER(Pricing!$F$12:$F$14)))=0),"Complete","INCOMPLETE")</f>
        <v>Complete</v>
      </c>
      <c r="D15" s="10" t="s">
        <v>690</v>
      </c>
      <c r="E15" s="10" t="s">
        <v>216</v>
      </c>
      <c r="F15" s="10" t="s">
        <v>691</v>
      </c>
      <c r="G15" s="10" t="s">
        <v>659</v>
      </c>
      <c r="H15" s="10" t="s">
        <v>216</v>
      </c>
      <c r="I15" s="10" t="s">
        <v>692</v>
      </c>
    </row>
    <row r="16" customFormat="false" ht="20.25" hidden="false" customHeight="true" outlineLevel="0" collapsed="false">
      <c r="A16" s="8" t="s">
        <v>503</v>
      </c>
      <c r="B16" s="8" t="s">
        <v>693</v>
      </c>
      <c r="C16" s="60" t="n">
        <f aca="false">SUM($C$12:$C$14)</f>
        <v>1</v>
      </c>
      <c r="D16" s="8" t="s">
        <v>694</v>
      </c>
      <c r="E16" s="8" t="s">
        <v>216</v>
      </c>
      <c r="F16" s="8" t="s">
        <v>664</v>
      </c>
      <c r="G16" s="8" t="s">
        <v>659</v>
      </c>
      <c r="H16" s="8" t="s">
        <v>216</v>
      </c>
      <c r="I16" s="8" t="s">
        <v>695</v>
      </c>
    </row>
    <row r="17" customFormat="false" ht="20.25" hidden="false" customHeight="true" outlineLevel="0" collapsed="false">
      <c r="A17" s="10" t="s">
        <v>514</v>
      </c>
      <c r="B17" s="10" t="s">
        <v>34</v>
      </c>
      <c r="C17" s="10" t="n">
        <f aca="false">COUNTBLANK($C$7:$C$14)</f>
        <v>0</v>
      </c>
      <c r="D17" s="10" t="s">
        <v>696</v>
      </c>
      <c r="E17" s="10" t="s">
        <v>216</v>
      </c>
      <c r="F17" s="10" t="s">
        <v>664</v>
      </c>
      <c r="G17" s="10" t="s">
        <v>659</v>
      </c>
      <c r="H17" s="10" t="s">
        <v>216</v>
      </c>
      <c r="I17" s="10"/>
    </row>
    <row r="19" customFormat="false" ht="24" hidden="false" customHeight="true" outlineLevel="0" collapsed="false">
      <c r="A19" s="11" t="s">
        <v>697</v>
      </c>
      <c r="B19" s="12"/>
      <c r="C19" s="12"/>
      <c r="D19" s="12"/>
      <c r="E19" s="12"/>
      <c r="F19" s="12"/>
      <c r="G19" s="12"/>
      <c r="H19" s="12"/>
      <c r="I19" s="12"/>
    </row>
    <row r="20" customFormat="false" ht="27.75" hidden="false" customHeight="true" outlineLevel="0" collapsed="false">
      <c r="A20" s="6" t="s">
        <v>57</v>
      </c>
      <c r="B20" s="6" t="s">
        <v>341</v>
      </c>
      <c r="C20" s="6" t="s">
        <v>30</v>
      </c>
      <c r="D20" s="6" t="s">
        <v>356</v>
      </c>
      <c r="E20" s="6" t="s">
        <v>128</v>
      </c>
      <c r="F20" s="6" t="s">
        <v>647</v>
      </c>
      <c r="G20" s="6" t="s">
        <v>648</v>
      </c>
      <c r="H20" s="6" t="s">
        <v>649</v>
      </c>
      <c r="I20" s="6" t="s">
        <v>266</v>
      </c>
    </row>
    <row r="21" customFormat="false" ht="20.25" hidden="false" customHeight="true" outlineLevel="0" collapsed="false">
      <c r="A21" s="8" t="s">
        <v>698</v>
      </c>
      <c r="B21" s="8" t="s">
        <v>699</v>
      </c>
      <c r="C21" s="8" t="s">
        <v>700</v>
      </c>
      <c r="D21" s="8" t="s">
        <v>653</v>
      </c>
      <c r="E21" s="8" t="s">
        <v>270</v>
      </c>
      <c r="F21" s="8" t="s">
        <v>701</v>
      </c>
      <c r="G21" s="8" t="s">
        <v>702</v>
      </c>
      <c r="H21" s="8" t="s">
        <v>270</v>
      </c>
      <c r="I21" s="8"/>
    </row>
    <row r="22" customFormat="false" ht="96.75" hidden="false" customHeight="true" outlineLevel="0" collapsed="false">
      <c r="A22" s="10" t="s">
        <v>703</v>
      </c>
      <c r="B22" s="10" t="s">
        <v>704</v>
      </c>
      <c r="C22" s="10" t="s">
        <v>705</v>
      </c>
      <c r="D22" s="10" t="s">
        <v>653</v>
      </c>
      <c r="E22" s="10" t="s">
        <v>270</v>
      </c>
      <c r="F22" s="10" t="s">
        <v>701</v>
      </c>
      <c r="G22" s="10" t="s">
        <v>706</v>
      </c>
      <c r="H22" s="10" t="s">
        <v>270</v>
      </c>
      <c r="I22" s="10" t="s">
        <v>707</v>
      </c>
    </row>
    <row r="23" customFormat="false" ht="45.75" hidden="false" customHeight="true" outlineLevel="0" collapsed="false">
      <c r="A23" s="8" t="s">
        <v>708</v>
      </c>
      <c r="B23" s="8" t="s">
        <v>709</v>
      </c>
      <c r="C23" s="8" t="s">
        <v>710</v>
      </c>
      <c r="D23" s="8" t="s">
        <v>653</v>
      </c>
      <c r="E23" s="8" t="s">
        <v>270</v>
      </c>
      <c r="F23" s="8" t="s">
        <v>701</v>
      </c>
      <c r="G23" s="8" t="s">
        <v>711</v>
      </c>
      <c r="H23" s="8" t="s">
        <v>270</v>
      </c>
      <c r="I23" s="8" t="s">
        <v>712</v>
      </c>
    </row>
    <row r="24" customFormat="false" ht="33" hidden="false" customHeight="true" outlineLevel="0" collapsed="false">
      <c r="A24" s="10" t="s">
        <v>713</v>
      </c>
      <c r="B24" s="10" t="s">
        <v>714</v>
      </c>
      <c r="C24" s="10" t="s">
        <v>715</v>
      </c>
      <c r="D24" s="10" t="s">
        <v>653</v>
      </c>
      <c r="E24" s="10" t="s">
        <v>270</v>
      </c>
      <c r="F24" s="10" t="s">
        <v>701</v>
      </c>
      <c r="G24" s="10" t="s">
        <v>716</v>
      </c>
      <c r="H24" s="10" t="s">
        <v>270</v>
      </c>
      <c r="I24" s="10" t="s">
        <v>717</v>
      </c>
    </row>
    <row r="25" customFormat="false" ht="33" hidden="false" customHeight="true" outlineLevel="0" collapsed="false">
      <c r="A25" s="8" t="s">
        <v>718</v>
      </c>
      <c r="B25" s="8" t="s">
        <v>719</v>
      </c>
      <c r="C25" s="8" t="s">
        <v>715</v>
      </c>
      <c r="D25" s="8" t="s">
        <v>653</v>
      </c>
      <c r="E25" s="8" t="s">
        <v>270</v>
      </c>
      <c r="F25" s="8" t="s">
        <v>701</v>
      </c>
      <c r="G25" s="8" t="s">
        <v>716</v>
      </c>
      <c r="H25" s="8" t="s">
        <v>270</v>
      </c>
      <c r="I25" s="8"/>
    </row>
    <row r="26" customFormat="false" ht="33" hidden="false" customHeight="true" outlineLevel="0" collapsed="false">
      <c r="A26" s="10" t="s">
        <v>720</v>
      </c>
      <c r="B26" s="10" t="s">
        <v>721</v>
      </c>
      <c r="C26" s="10" t="n">
        <v>8</v>
      </c>
      <c r="D26" s="10" t="s">
        <v>722</v>
      </c>
      <c r="E26" s="10" t="s">
        <v>270</v>
      </c>
      <c r="F26" s="10" t="s">
        <v>701</v>
      </c>
      <c r="G26" s="10" t="s">
        <v>723</v>
      </c>
      <c r="H26" s="10" t="s">
        <v>270</v>
      </c>
      <c r="I26" s="10" t="s">
        <v>724</v>
      </c>
    </row>
    <row r="27" customFormat="false" ht="33" hidden="false" customHeight="true" outlineLevel="0" collapsed="false">
      <c r="A27" s="8" t="s">
        <v>725</v>
      </c>
      <c r="B27" s="8" t="s">
        <v>726</v>
      </c>
      <c r="C27" s="8" t="s">
        <v>240</v>
      </c>
      <c r="D27" s="8" t="s">
        <v>727</v>
      </c>
      <c r="E27" s="8" t="s">
        <v>270</v>
      </c>
      <c r="F27" s="8" t="s">
        <v>701</v>
      </c>
      <c r="G27" s="8" t="s">
        <v>728</v>
      </c>
      <c r="H27" s="8" t="s">
        <v>270</v>
      </c>
      <c r="I27" s="8" t="s">
        <v>729</v>
      </c>
    </row>
    <row r="28" customFormat="false" ht="33" hidden="false" customHeight="true" outlineLevel="0" collapsed="false">
      <c r="A28" s="10" t="s">
        <v>730</v>
      </c>
      <c r="B28" s="10" t="s">
        <v>731</v>
      </c>
      <c r="C28" s="10" t="s">
        <v>732</v>
      </c>
      <c r="D28" s="10" t="s">
        <v>727</v>
      </c>
      <c r="E28" s="10" t="s">
        <v>270</v>
      </c>
      <c r="F28" s="10" t="s">
        <v>701</v>
      </c>
      <c r="G28" s="10" t="s">
        <v>733</v>
      </c>
      <c r="H28" s="10" t="s">
        <v>270</v>
      </c>
      <c r="I28" s="10"/>
    </row>
    <row r="29" customFormat="false" ht="20.25" hidden="false" customHeight="true" outlineLevel="0" collapsed="false">
      <c r="A29" s="8" t="s">
        <v>734</v>
      </c>
      <c r="B29" s="8" t="s">
        <v>735</v>
      </c>
      <c r="C29" s="8" t="s">
        <v>736</v>
      </c>
      <c r="D29" s="8" t="s">
        <v>727</v>
      </c>
      <c r="E29" s="8" t="s">
        <v>270</v>
      </c>
      <c r="F29" s="8" t="s">
        <v>701</v>
      </c>
      <c r="G29" s="8" t="s">
        <v>737</v>
      </c>
      <c r="H29" s="8" t="s">
        <v>270</v>
      </c>
      <c r="I29" s="8" t="s">
        <v>738</v>
      </c>
    </row>
    <row r="30" customFormat="false" ht="33" hidden="false" customHeight="true" outlineLevel="0" collapsed="false">
      <c r="A30" s="10" t="s">
        <v>739</v>
      </c>
      <c r="B30" s="10" t="s">
        <v>740</v>
      </c>
      <c r="C30" s="10" t="s">
        <v>741</v>
      </c>
      <c r="D30" s="10" t="s">
        <v>742</v>
      </c>
      <c r="E30" s="10" t="s">
        <v>270</v>
      </c>
      <c r="F30" s="10" t="s">
        <v>701</v>
      </c>
      <c r="G30" s="10" t="s">
        <v>743</v>
      </c>
      <c r="H30" s="10" t="s">
        <v>270</v>
      </c>
      <c r="I30" s="10" t="s">
        <v>744</v>
      </c>
    </row>
    <row r="31" customFormat="false" ht="33" hidden="false" customHeight="true" outlineLevel="0" collapsed="false">
      <c r="A31" s="8" t="s">
        <v>745</v>
      </c>
      <c r="B31" s="8" t="s">
        <v>746</v>
      </c>
      <c r="C31" s="8" t="n">
        <v>0</v>
      </c>
      <c r="D31" s="8" t="s">
        <v>747</v>
      </c>
      <c r="E31" s="8" t="s">
        <v>270</v>
      </c>
      <c r="F31" s="8" t="s">
        <v>701</v>
      </c>
      <c r="G31" s="8" t="s">
        <v>743</v>
      </c>
      <c r="H31" s="8" t="s">
        <v>270</v>
      </c>
      <c r="I31" s="8" t="s">
        <v>748</v>
      </c>
    </row>
    <row r="32" customFormat="false" ht="20.25" hidden="false" customHeight="true" outlineLevel="0" collapsed="false">
      <c r="A32" s="10" t="s">
        <v>749</v>
      </c>
      <c r="B32" s="10" t="s">
        <v>750</v>
      </c>
      <c r="C32" s="10" t="s">
        <v>751</v>
      </c>
      <c r="D32" s="10" t="s">
        <v>653</v>
      </c>
      <c r="E32" s="10" t="s">
        <v>270</v>
      </c>
      <c r="F32" s="10" t="s">
        <v>752</v>
      </c>
      <c r="G32" s="10" t="s">
        <v>753</v>
      </c>
      <c r="H32" s="10" t="s">
        <v>270</v>
      </c>
      <c r="I32" s="10" t="s">
        <v>754</v>
      </c>
    </row>
    <row r="33" customFormat="false" ht="33" hidden="false" customHeight="true" outlineLevel="0" collapsed="false">
      <c r="A33" s="8" t="s">
        <v>755</v>
      </c>
      <c r="B33" s="8" t="s">
        <v>756</v>
      </c>
      <c r="C33" s="8" t="s">
        <v>757</v>
      </c>
      <c r="D33" s="8" t="s">
        <v>653</v>
      </c>
      <c r="E33" s="8" t="s">
        <v>270</v>
      </c>
      <c r="F33" s="8" t="s">
        <v>752</v>
      </c>
      <c r="G33" s="8" t="s">
        <v>758</v>
      </c>
      <c r="H33" s="8" t="s">
        <v>759</v>
      </c>
      <c r="I33" s="8" t="s">
        <v>760</v>
      </c>
    </row>
    <row r="34" customFormat="false" ht="33" hidden="false" customHeight="true" outlineLevel="0" collapsed="false">
      <c r="A34" s="10" t="s">
        <v>761</v>
      </c>
      <c r="B34" s="10" t="s">
        <v>762</v>
      </c>
      <c r="C34" s="26" t="n">
        <v>0</v>
      </c>
      <c r="D34" s="10" t="s">
        <v>361</v>
      </c>
      <c r="E34" s="10" t="s">
        <v>270</v>
      </c>
      <c r="F34" s="10" t="s">
        <v>752</v>
      </c>
      <c r="G34" s="10" t="s">
        <v>763</v>
      </c>
      <c r="H34" s="10" t="s">
        <v>764</v>
      </c>
      <c r="I34" s="10" t="s">
        <v>765</v>
      </c>
    </row>
    <row r="35" customFormat="false" ht="20.25" hidden="false" customHeight="true" outlineLevel="0" collapsed="false">
      <c r="A35" s="8" t="s">
        <v>766</v>
      </c>
      <c r="B35" s="8" t="s">
        <v>767</v>
      </c>
      <c r="C35" s="25" t="n">
        <v>4.99</v>
      </c>
      <c r="D35" s="8" t="s">
        <v>361</v>
      </c>
      <c r="E35" s="8" t="s">
        <v>270</v>
      </c>
      <c r="F35" s="8" t="s">
        <v>752</v>
      </c>
      <c r="G35" s="8" t="s">
        <v>763</v>
      </c>
      <c r="H35" s="8" t="s">
        <v>759</v>
      </c>
      <c r="I35" s="8" t="s">
        <v>768</v>
      </c>
    </row>
    <row r="36" customFormat="false" ht="20.25" hidden="false" customHeight="true" outlineLevel="0" collapsed="false">
      <c r="A36" s="10" t="s">
        <v>769</v>
      </c>
      <c r="B36" s="10" t="s">
        <v>770</v>
      </c>
      <c r="C36" s="26" t="n">
        <v>24.92</v>
      </c>
      <c r="D36" s="10" t="s">
        <v>361</v>
      </c>
      <c r="E36" s="10" t="s">
        <v>270</v>
      </c>
      <c r="F36" s="10" t="s">
        <v>752</v>
      </c>
      <c r="G36" s="10" t="s">
        <v>763</v>
      </c>
      <c r="H36" s="10" t="s">
        <v>759</v>
      </c>
      <c r="I36" s="10"/>
    </row>
    <row r="37" customFormat="false" ht="20.25" hidden="false" customHeight="true" outlineLevel="0" collapsed="false">
      <c r="A37" s="8" t="s">
        <v>771</v>
      </c>
      <c r="B37" s="8" t="s">
        <v>772</v>
      </c>
      <c r="C37" s="25" t="n">
        <v>416.58</v>
      </c>
      <c r="D37" s="8" t="s">
        <v>361</v>
      </c>
      <c r="E37" s="8" t="s">
        <v>270</v>
      </c>
      <c r="F37" s="8" t="s">
        <v>752</v>
      </c>
      <c r="G37" s="8" t="s">
        <v>763</v>
      </c>
      <c r="H37" s="8" t="s">
        <v>759</v>
      </c>
      <c r="I37" s="8" t="s">
        <v>773</v>
      </c>
    </row>
    <row r="38" customFormat="false" ht="33" hidden="false" customHeight="true" outlineLevel="0" collapsed="false">
      <c r="A38" s="10" t="s">
        <v>774</v>
      </c>
      <c r="B38" s="10" t="s">
        <v>775</v>
      </c>
      <c r="C38" s="10" t="s">
        <v>372</v>
      </c>
      <c r="D38" s="10" t="s">
        <v>776</v>
      </c>
      <c r="E38" s="10" t="s">
        <v>270</v>
      </c>
      <c r="F38" s="10" t="s">
        <v>752</v>
      </c>
      <c r="G38" s="10" t="s">
        <v>763</v>
      </c>
      <c r="H38" s="10" t="s">
        <v>759</v>
      </c>
      <c r="I38" s="10" t="s">
        <v>777</v>
      </c>
    </row>
    <row r="39" customFormat="false" ht="33" hidden="false" customHeight="true" outlineLevel="0" collapsed="false">
      <c r="A39" s="8" t="s">
        <v>778</v>
      </c>
      <c r="B39" s="8" t="s">
        <v>779</v>
      </c>
      <c r="C39" s="8" t="s">
        <v>377</v>
      </c>
      <c r="D39" s="8" t="s">
        <v>653</v>
      </c>
      <c r="E39" s="8" t="s">
        <v>270</v>
      </c>
      <c r="F39" s="8" t="s">
        <v>752</v>
      </c>
      <c r="G39" s="8" t="s">
        <v>763</v>
      </c>
      <c r="H39" s="8" t="s">
        <v>759</v>
      </c>
      <c r="I39" s="8" t="s">
        <v>780</v>
      </c>
    </row>
    <row r="40" customFormat="false" ht="58.5" hidden="false" customHeight="true" outlineLevel="0" collapsed="false">
      <c r="A40" s="10" t="s">
        <v>781</v>
      </c>
      <c r="B40" s="10" t="s">
        <v>782</v>
      </c>
      <c r="C40" s="10" t="s">
        <v>783</v>
      </c>
      <c r="D40" s="10" t="s">
        <v>653</v>
      </c>
      <c r="E40" s="10" t="s">
        <v>270</v>
      </c>
      <c r="F40" s="10" t="s">
        <v>752</v>
      </c>
      <c r="G40" s="10" t="s">
        <v>763</v>
      </c>
      <c r="H40" s="10" t="s">
        <v>784</v>
      </c>
      <c r="I40" s="10" t="s">
        <v>785</v>
      </c>
    </row>
    <row r="41" customFormat="false" ht="58.5" hidden="false" customHeight="true" outlineLevel="0" collapsed="false">
      <c r="A41" s="8" t="s">
        <v>786</v>
      </c>
      <c r="B41" s="8" t="s">
        <v>787</v>
      </c>
      <c r="C41" s="8" t="s">
        <v>788</v>
      </c>
      <c r="D41" s="8" t="s">
        <v>653</v>
      </c>
      <c r="E41" s="8" t="s">
        <v>270</v>
      </c>
      <c r="F41" s="8" t="s">
        <v>752</v>
      </c>
      <c r="G41" s="8" t="s">
        <v>789</v>
      </c>
      <c r="H41" s="8" t="s">
        <v>790</v>
      </c>
      <c r="I41" s="8" t="s">
        <v>791</v>
      </c>
    </row>
    <row r="42" customFormat="false" ht="33" hidden="false" customHeight="true" outlineLevel="0" collapsed="false">
      <c r="A42" s="10" t="s">
        <v>792</v>
      </c>
      <c r="B42" s="10" t="s">
        <v>793</v>
      </c>
      <c r="C42" s="10" t="s">
        <v>794</v>
      </c>
      <c r="D42" s="10" t="s">
        <v>653</v>
      </c>
      <c r="E42" s="10" t="s">
        <v>270</v>
      </c>
      <c r="F42" s="10" t="s">
        <v>752</v>
      </c>
      <c r="G42" s="10" t="s">
        <v>795</v>
      </c>
      <c r="H42" s="10" t="s">
        <v>796</v>
      </c>
      <c r="I42" s="10" t="s">
        <v>797</v>
      </c>
    </row>
    <row r="43" customFormat="false" ht="33" hidden="false" customHeight="true" outlineLevel="0" collapsed="false">
      <c r="A43" s="8" t="s">
        <v>798</v>
      </c>
      <c r="B43" s="8" t="s">
        <v>799</v>
      </c>
      <c r="C43" s="23" t="n">
        <f aca="false">$C$86</f>
        <v>13103953668</v>
      </c>
      <c r="D43" s="8" t="s">
        <v>800</v>
      </c>
      <c r="E43" s="8" t="s">
        <v>216</v>
      </c>
      <c r="F43" s="8" t="s">
        <v>664</v>
      </c>
      <c r="G43" s="8" t="s">
        <v>801</v>
      </c>
      <c r="H43" s="8" t="s">
        <v>216</v>
      </c>
      <c r="I43" s="8" t="s">
        <v>802</v>
      </c>
    </row>
    <row r="44" customFormat="false" ht="33" hidden="false" customHeight="true" outlineLevel="0" collapsed="false">
      <c r="A44" s="10" t="s">
        <v>803</v>
      </c>
      <c r="B44" s="10" t="s">
        <v>804</v>
      </c>
      <c r="C44" s="24" t="n">
        <f aca="false">$C$81</f>
        <v>36161.3088096</v>
      </c>
      <c r="D44" s="10" t="s">
        <v>805</v>
      </c>
      <c r="E44" s="10" t="s">
        <v>216</v>
      </c>
      <c r="F44" s="10" t="s">
        <v>664</v>
      </c>
      <c r="G44" s="10" t="s">
        <v>806</v>
      </c>
      <c r="H44" s="10" t="s">
        <v>216</v>
      </c>
      <c r="I44" s="10" t="s">
        <v>807</v>
      </c>
    </row>
    <row r="45" customFormat="false" ht="33" hidden="false" customHeight="true" outlineLevel="0" collapsed="false">
      <c r="A45" s="8" t="s">
        <v>808</v>
      </c>
      <c r="B45" s="8" t="s">
        <v>809</v>
      </c>
      <c r="C45" s="8" t="s">
        <v>810</v>
      </c>
      <c r="D45" s="8" t="s">
        <v>811</v>
      </c>
      <c r="E45" s="8" t="s">
        <v>658</v>
      </c>
      <c r="F45" s="8" t="s">
        <v>659</v>
      </c>
      <c r="G45" s="8" t="s">
        <v>659</v>
      </c>
      <c r="H45" s="8" t="s">
        <v>229</v>
      </c>
      <c r="I45" s="8" t="s">
        <v>812</v>
      </c>
    </row>
    <row r="46" customFormat="false" ht="33" hidden="false" customHeight="true" outlineLevel="0" collapsed="false">
      <c r="A46" s="10" t="s">
        <v>813</v>
      </c>
      <c r="B46" s="10" t="s">
        <v>814</v>
      </c>
      <c r="C46" s="10" t="str">
        <f aca="false">"Lead-demo "&amp;TEXT($C$68,"0%")&amp;", demo-pilot "&amp;TEXT($C$69,"0%")&amp;", pilot-paid "&amp;TEXT($C$70,"0%")</f>
        <v>Lead-demo 25%, demo-pilot 40%, pilot-paid 50%</v>
      </c>
      <c r="D46" s="10" t="s">
        <v>694</v>
      </c>
      <c r="E46" s="10" t="s">
        <v>658</v>
      </c>
      <c r="F46" s="10" t="s">
        <v>664</v>
      </c>
      <c r="G46" s="10" t="s">
        <v>815</v>
      </c>
      <c r="H46" s="10" t="s">
        <v>229</v>
      </c>
      <c r="I46" s="10"/>
    </row>
    <row r="47" customFormat="false" ht="33" hidden="false" customHeight="true" outlineLevel="0" collapsed="false">
      <c r="A47" s="8" t="s">
        <v>816</v>
      </c>
      <c r="B47" s="8" t="s">
        <v>817</v>
      </c>
      <c r="C47" s="60" t="n">
        <f aca="false">$C$79</f>
        <v>0.717657156656347</v>
      </c>
      <c r="D47" s="8" t="s">
        <v>694</v>
      </c>
      <c r="E47" s="8" t="s">
        <v>216</v>
      </c>
      <c r="F47" s="8" t="s">
        <v>818</v>
      </c>
      <c r="G47" s="8" t="s">
        <v>819</v>
      </c>
      <c r="H47" s="8" t="s">
        <v>216</v>
      </c>
      <c r="I47" s="8" t="s">
        <v>820</v>
      </c>
    </row>
    <row r="48" customFormat="false" ht="33" hidden="false" customHeight="true" outlineLevel="0" collapsed="false">
      <c r="A48" s="10" t="s">
        <v>821</v>
      </c>
      <c r="B48" s="10" t="s">
        <v>822</v>
      </c>
      <c r="C48" s="10" t="s">
        <v>823</v>
      </c>
      <c r="D48" s="10" t="s">
        <v>653</v>
      </c>
      <c r="E48" s="10" t="s">
        <v>270</v>
      </c>
      <c r="F48" s="10" t="s">
        <v>654</v>
      </c>
      <c r="G48" s="10" t="s">
        <v>655</v>
      </c>
      <c r="H48" s="10" t="s">
        <v>824</v>
      </c>
      <c r="I48" s="10" t="s">
        <v>825</v>
      </c>
    </row>
    <row r="49" customFormat="false" ht="33" hidden="false" customHeight="true" outlineLevel="0" collapsed="false">
      <c r="A49" s="8" t="s">
        <v>826</v>
      </c>
      <c r="B49" s="8" t="s">
        <v>827</v>
      </c>
      <c r="C49" s="8" t="s">
        <v>828</v>
      </c>
      <c r="D49" s="8" t="s">
        <v>829</v>
      </c>
      <c r="E49" s="8" t="s">
        <v>270</v>
      </c>
      <c r="F49" s="8" t="s">
        <v>654</v>
      </c>
      <c r="G49" s="8" t="s">
        <v>830</v>
      </c>
      <c r="H49" s="8" t="s">
        <v>831</v>
      </c>
      <c r="I49" s="8" t="s">
        <v>832</v>
      </c>
    </row>
    <row r="51" customFormat="false" ht="24" hidden="false" customHeight="true" outlineLevel="0" collapsed="false">
      <c r="A51" s="11" t="s">
        <v>833</v>
      </c>
      <c r="B51" s="12"/>
      <c r="C51" s="12"/>
      <c r="D51" s="12"/>
      <c r="E51" s="12"/>
      <c r="F51" s="12"/>
      <c r="G51" s="12"/>
      <c r="H51" s="12"/>
      <c r="I51" s="12"/>
    </row>
    <row r="52" customFormat="false" ht="27.75" hidden="false" customHeight="true" outlineLevel="0" collapsed="false">
      <c r="A52" s="6" t="s">
        <v>57</v>
      </c>
      <c r="B52" s="6" t="s">
        <v>341</v>
      </c>
      <c r="C52" s="6" t="s">
        <v>30</v>
      </c>
      <c r="D52" s="6" t="s">
        <v>356</v>
      </c>
      <c r="E52" s="6" t="s">
        <v>128</v>
      </c>
      <c r="F52" s="6" t="s">
        <v>647</v>
      </c>
      <c r="G52" s="6" t="s">
        <v>648</v>
      </c>
      <c r="H52" s="6" t="s">
        <v>649</v>
      </c>
      <c r="I52" s="6" t="s">
        <v>266</v>
      </c>
    </row>
    <row r="53" customFormat="false" ht="33" hidden="false" customHeight="true" outlineLevel="0" collapsed="false">
      <c r="A53" s="10" t="s">
        <v>834</v>
      </c>
      <c r="B53" s="10" t="s">
        <v>835</v>
      </c>
      <c r="C53" s="61" t="n">
        <v>50</v>
      </c>
      <c r="D53" s="10" t="s">
        <v>836</v>
      </c>
      <c r="E53" s="10" t="s">
        <v>270</v>
      </c>
      <c r="F53" s="10" t="s">
        <v>654</v>
      </c>
      <c r="G53" s="10" t="s">
        <v>837</v>
      </c>
      <c r="H53" s="10" t="s">
        <v>270</v>
      </c>
      <c r="I53" s="10" t="s">
        <v>838</v>
      </c>
    </row>
    <row r="54" customFormat="false" ht="33" hidden="false" customHeight="true" outlineLevel="0" collapsed="false">
      <c r="A54" s="8" t="s">
        <v>839</v>
      </c>
      <c r="B54" s="8" t="s">
        <v>840</v>
      </c>
      <c r="C54" s="61" t="n">
        <v>12</v>
      </c>
      <c r="D54" s="8" t="s">
        <v>841</v>
      </c>
      <c r="E54" s="8" t="s">
        <v>658</v>
      </c>
      <c r="F54" s="8" t="s">
        <v>659</v>
      </c>
      <c r="G54" s="8" t="s">
        <v>659</v>
      </c>
      <c r="H54" s="8" t="s">
        <v>229</v>
      </c>
      <c r="I54" s="8" t="s">
        <v>842</v>
      </c>
    </row>
    <row r="55" customFormat="false" ht="33" hidden="false" customHeight="true" outlineLevel="0" collapsed="false">
      <c r="A55" s="10" t="s">
        <v>843</v>
      </c>
      <c r="B55" s="10" t="s">
        <v>844</v>
      </c>
      <c r="C55" s="62" t="n">
        <v>96.07</v>
      </c>
      <c r="D55" s="10" t="s">
        <v>845</v>
      </c>
      <c r="E55" s="10" t="s">
        <v>270</v>
      </c>
      <c r="F55" s="10" t="s">
        <v>654</v>
      </c>
      <c r="G55" s="10" t="s">
        <v>846</v>
      </c>
      <c r="H55" s="10" t="s">
        <v>270</v>
      </c>
      <c r="I55" s="10" t="s">
        <v>847</v>
      </c>
    </row>
    <row r="56" customFormat="false" ht="33" hidden="false" customHeight="true" outlineLevel="0" collapsed="false">
      <c r="A56" s="8" t="s">
        <v>848</v>
      </c>
      <c r="B56" s="8" t="s">
        <v>849</v>
      </c>
      <c r="C56" s="59" t="n">
        <v>0.17</v>
      </c>
      <c r="D56" s="8" t="s">
        <v>694</v>
      </c>
      <c r="E56" s="8" t="s">
        <v>270</v>
      </c>
      <c r="F56" s="8" t="s">
        <v>654</v>
      </c>
      <c r="G56" s="8" t="s">
        <v>850</v>
      </c>
      <c r="H56" s="8" t="s">
        <v>270</v>
      </c>
      <c r="I56" s="8" t="s">
        <v>851</v>
      </c>
    </row>
    <row r="57" customFormat="false" ht="33" hidden="false" customHeight="true" outlineLevel="0" collapsed="false">
      <c r="A57" s="10" t="s">
        <v>852</v>
      </c>
      <c r="B57" s="10" t="s">
        <v>853</v>
      </c>
      <c r="C57" s="63" t="n">
        <v>0.000258</v>
      </c>
      <c r="D57" s="10" t="s">
        <v>854</v>
      </c>
      <c r="E57" s="10" t="s">
        <v>270</v>
      </c>
      <c r="F57" s="10" t="s">
        <v>654</v>
      </c>
      <c r="G57" s="10" t="s">
        <v>755</v>
      </c>
      <c r="H57" s="10" t="s">
        <v>270</v>
      </c>
      <c r="I57" s="10" t="s">
        <v>855</v>
      </c>
    </row>
    <row r="58" customFormat="false" ht="33" hidden="false" customHeight="true" outlineLevel="0" collapsed="false">
      <c r="A58" s="8" t="s">
        <v>856</v>
      </c>
      <c r="B58" s="8" t="s">
        <v>857</v>
      </c>
      <c r="C58" s="63" t="n">
        <v>0.0001335</v>
      </c>
      <c r="D58" s="8" t="s">
        <v>854</v>
      </c>
      <c r="E58" s="8" t="s">
        <v>270</v>
      </c>
      <c r="F58" s="8" t="s">
        <v>654</v>
      </c>
      <c r="G58" s="8" t="s">
        <v>755</v>
      </c>
      <c r="H58" s="8" t="s">
        <v>270</v>
      </c>
      <c r="I58" s="8" t="s">
        <v>858</v>
      </c>
    </row>
    <row r="59" customFormat="false" ht="33" hidden="false" customHeight="true" outlineLevel="0" collapsed="false">
      <c r="A59" s="10" t="s">
        <v>859</v>
      </c>
      <c r="B59" s="10" t="s">
        <v>860</v>
      </c>
      <c r="C59" s="61" t="n">
        <v>50</v>
      </c>
      <c r="D59" s="10" t="s">
        <v>861</v>
      </c>
      <c r="E59" s="10" t="s">
        <v>270</v>
      </c>
      <c r="F59" s="10" t="s">
        <v>654</v>
      </c>
      <c r="G59" s="10" t="s">
        <v>862</v>
      </c>
      <c r="H59" s="10" t="s">
        <v>270</v>
      </c>
      <c r="I59" s="10"/>
    </row>
    <row r="60" customFormat="false" ht="33" hidden="false" customHeight="true" outlineLevel="0" collapsed="false">
      <c r="A60" s="8" t="s">
        <v>863</v>
      </c>
      <c r="B60" s="8" t="s">
        <v>864</v>
      </c>
      <c r="C60" s="61" t="n">
        <v>200</v>
      </c>
      <c r="D60" s="8" t="s">
        <v>861</v>
      </c>
      <c r="E60" s="8" t="s">
        <v>270</v>
      </c>
      <c r="F60" s="8" t="s">
        <v>654</v>
      </c>
      <c r="G60" s="8" t="s">
        <v>865</v>
      </c>
      <c r="H60" s="8" t="s">
        <v>270</v>
      </c>
      <c r="I60" s="8"/>
    </row>
    <row r="61" customFormat="false" ht="33" hidden="false" customHeight="true" outlineLevel="0" collapsed="false">
      <c r="A61" s="10" t="s">
        <v>866</v>
      </c>
      <c r="B61" s="10" t="s">
        <v>867</v>
      </c>
      <c r="C61" s="62" t="n">
        <v>0</v>
      </c>
      <c r="D61" s="10" t="s">
        <v>361</v>
      </c>
      <c r="E61" s="10" t="s">
        <v>270</v>
      </c>
      <c r="F61" s="10" t="s">
        <v>654</v>
      </c>
      <c r="G61" s="10" t="s">
        <v>868</v>
      </c>
      <c r="H61" s="10" t="s">
        <v>270</v>
      </c>
      <c r="I61" s="10" t="s">
        <v>869</v>
      </c>
    </row>
    <row r="62" customFormat="false" ht="33" hidden="false" customHeight="true" outlineLevel="0" collapsed="false">
      <c r="A62" s="8" t="s">
        <v>870</v>
      </c>
      <c r="B62" s="8" t="s">
        <v>871</v>
      </c>
      <c r="C62" s="61" t="n">
        <v>500</v>
      </c>
      <c r="D62" s="8" t="s">
        <v>861</v>
      </c>
      <c r="E62" s="8" t="s">
        <v>270</v>
      </c>
      <c r="F62" s="8" t="s">
        <v>654</v>
      </c>
      <c r="G62" s="8" t="s">
        <v>872</v>
      </c>
      <c r="H62" s="8" t="s">
        <v>270</v>
      </c>
      <c r="I62" s="8"/>
    </row>
    <row r="63" customFormat="false" ht="33" hidden="false" customHeight="true" outlineLevel="0" collapsed="false">
      <c r="A63" s="10" t="s">
        <v>873</v>
      </c>
      <c r="B63" s="10" t="s">
        <v>874</v>
      </c>
      <c r="C63" s="61" t="n">
        <v>2000</v>
      </c>
      <c r="D63" s="10" t="s">
        <v>861</v>
      </c>
      <c r="E63" s="10" t="s">
        <v>270</v>
      </c>
      <c r="F63" s="10" t="s">
        <v>654</v>
      </c>
      <c r="G63" s="10" t="s">
        <v>875</v>
      </c>
      <c r="H63" s="10" t="s">
        <v>270</v>
      </c>
      <c r="I63" s="10"/>
    </row>
    <row r="64" customFormat="false" ht="33" hidden="false" customHeight="true" outlineLevel="0" collapsed="false">
      <c r="A64" s="8" t="s">
        <v>876</v>
      </c>
      <c r="B64" s="8" t="s">
        <v>877</v>
      </c>
      <c r="C64" s="62" t="n">
        <v>20</v>
      </c>
      <c r="D64" s="8" t="s">
        <v>361</v>
      </c>
      <c r="E64" s="8" t="s">
        <v>270</v>
      </c>
      <c r="F64" s="8" t="s">
        <v>654</v>
      </c>
      <c r="G64" s="8" t="s">
        <v>878</v>
      </c>
      <c r="H64" s="8" t="s">
        <v>270</v>
      </c>
      <c r="I64" s="8" t="s">
        <v>879</v>
      </c>
    </row>
    <row r="65" customFormat="false" ht="33" hidden="false" customHeight="true" outlineLevel="0" collapsed="false">
      <c r="A65" s="10" t="s">
        <v>880</v>
      </c>
      <c r="B65" s="10" t="s">
        <v>881</v>
      </c>
      <c r="C65" s="61" t="n">
        <v>2500</v>
      </c>
      <c r="D65" s="10" t="s">
        <v>861</v>
      </c>
      <c r="E65" s="10" t="s">
        <v>270</v>
      </c>
      <c r="F65" s="10" t="s">
        <v>654</v>
      </c>
      <c r="G65" s="10" t="s">
        <v>882</v>
      </c>
      <c r="H65" s="10" t="s">
        <v>270</v>
      </c>
      <c r="I65" s="10"/>
    </row>
    <row r="66" customFormat="false" ht="33" hidden="false" customHeight="true" outlineLevel="0" collapsed="false">
      <c r="A66" s="8" t="s">
        <v>883</v>
      </c>
      <c r="B66" s="8" t="s">
        <v>884</v>
      </c>
      <c r="C66" s="61" t="n">
        <v>10000</v>
      </c>
      <c r="D66" s="8" t="s">
        <v>861</v>
      </c>
      <c r="E66" s="8" t="s">
        <v>270</v>
      </c>
      <c r="F66" s="8" t="s">
        <v>654</v>
      </c>
      <c r="G66" s="8" t="s">
        <v>885</v>
      </c>
      <c r="H66" s="8" t="s">
        <v>270</v>
      </c>
      <c r="I66" s="8"/>
    </row>
    <row r="67" customFormat="false" ht="33" hidden="false" customHeight="true" outlineLevel="0" collapsed="false">
      <c r="A67" s="10" t="s">
        <v>886</v>
      </c>
      <c r="B67" s="10" t="s">
        <v>887</v>
      </c>
      <c r="C67" s="62" t="n">
        <v>60</v>
      </c>
      <c r="D67" s="10" t="s">
        <v>361</v>
      </c>
      <c r="E67" s="10" t="s">
        <v>270</v>
      </c>
      <c r="F67" s="10" t="s">
        <v>654</v>
      </c>
      <c r="G67" s="10" t="s">
        <v>888</v>
      </c>
      <c r="H67" s="10" t="s">
        <v>270</v>
      </c>
      <c r="I67" s="10" t="s">
        <v>889</v>
      </c>
    </row>
    <row r="68" customFormat="false" ht="33" hidden="false" customHeight="true" outlineLevel="0" collapsed="false">
      <c r="A68" s="8" t="s">
        <v>890</v>
      </c>
      <c r="B68" s="8" t="s">
        <v>891</v>
      </c>
      <c r="C68" s="59" t="n">
        <v>0.25</v>
      </c>
      <c r="D68" s="8" t="s">
        <v>694</v>
      </c>
      <c r="E68" s="8" t="s">
        <v>658</v>
      </c>
      <c r="F68" s="8" t="s">
        <v>659</v>
      </c>
      <c r="G68" s="8" t="s">
        <v>659</v>
      </c>
      <c r="H68" s="8" t="s">
        <v>229</v>
      </c>
      <c r="I68" s="8" t="s">
        <v>892</v>
      </c>
    </row>
    <row r="69" customFormat="false" ht="33" hidden="false" customHeight="true" outlineLevel="0" collapsed="false">
      <c r="A69" s="10" t="s">
        <v>893</v>
      </c>
      <c r="B69" s="10" t="s">
        <v>894</v>
      </c>
      <c r="C69" s="59" t="n">
        <v>0.4</v>
      </c>
      <c r="D69" s="10" t="s">
        <v>694</v>
      </c>
      <c r="E69" s="10" t="s">
        <v>658</v>
      </c>
      <c r="F69" s="10" t="s">
        <v>659</v>
      </c>
      <c r="G69" s="10" t="s">
        <v>659</v>
      </c>
      <c r="H69" s="10" t="s">
        <v>229</v>
      </c>
      <c r="I69" s="10" t="s">
        <v>895</v>
      </c>
    </row>
    <row r="70" customFormat="false" ht="33" hidden="false" customHeight="true" outlineLevel="0" collapsed="false">
      <c r="A70" s="8" t="s">
        <v>896</v>
      </c>
      <c r="B70" s="8" t="s">
        <v>897</v>
      </c>
      <c r="C70" s="59" t="n">
        <v>0.5</v>
      </c>
      <c r="D70" s="8" t="s">
        <v>694</v>
      </c>
      <c r="E70" s="8" t="s">
        <v>658</v>
      </c>
      <c r="F70" s="8" t="s">
        <v>659</v>
      </c>
      <c r="G70" s="8" t="s">
        <v>659</v>
      </c>
      <c r="H70" s="8" t="s">
        <v>229</v>
      </c>
      <c r="I70" s="8" t="s">
        <v>895</v>
      </c>
    </row>
    <row r="71" customFormat="false" ht="33" hidden="false" customHeight="true" outlineLevel="0" collapsed="false">
      <c r="A71" s="10" t="s">
        <v>898</v>
      </c>
      <c r="B71" s="10" t="s">
        <v>899</v>
      </c>
      <c r="C71" s="61" t="n">
        <v>260061</v>
      </c>
      <c r="D71" s="10" t="s">
        <v>900</v>
      </c>
      <c r="E71" s="10" t="s">
        <v>270</v>
      </c>
      <c r="F71" s="10" t="s">
        <v>901</v>
      </c>
      <c r="G71" s="10" t="s">
        <v>902</v>
      </c>
      <c r="H71" s="10" t="s">
        <v>270</v>
      </c>
      <c r="I71" s="10" t="s">
        <v>903</v>
      </c>
    </row>
    <row r="72" customFormat="false" ht="33" hidden="false" customHeight="true" outlineLevel="0" collapsed="false">
      <c r="A72" s="8" t="s">
        <v>904</v>
      </c>
      <c r="B72" s="8" t="s">
        <v>905</v>
      </c>
      <c r="C72" s="59" t="n">
        <v>0.1</v>
      </c>
      <c r="D72" s="8" t="s">
        <v>694</v>
      </c>
      <c r="E72" s="8" t="s">
        <v>658</v>
      </c>
      <c r="F72" s="8" t="s">
        <v>659</v>
      </c>
      <c r="G72" s="8" t="s">
        <v>659</v>
      </c>
      <c r="H72" s="8" t="s">
        <v>229</v>
      </c>
      <c r="I72" s="8" t="s">
        <v>906</v>
      </c>
    </row>
    <row r="73" customFormat="false" ht="33" hidden="false" customHeight="true" outlineLevel="0" collapsed="false">
      <c r="A73" s="10" t="s">
        <v>907</v>
      </c>
      <c r="B73" s="10" t="s">
        <v>908</v>
      </c>
      <c r="C73" s="64" t="n">
        <f aca="false">($C$59*$C$57+$C$60*$C$58+$C$61)*$C$55</f>
        <v>3.804372</v>
      </c>
      <c r="D73" s="10" t="s">
        <v>909</v>
      </c>
      <c r="E73" s="10" t="s">
        <v>216</v>
      </c>
      <c r="F73" s="10" t="s">
        <v>664</v>
      </c>
      <c r="G73" s="10" t="s">
        <v>910</v>
      </c>
      <c r="H73" s="10" t="s">
        <v>216</v>
      </c>
      <c r="I73" s="10" t="s">
        <v>911</v>
      </c>
    </row>
    <row r="74" customFormat="false" ht="33" hidden="false" customHeight="true" outlineLevel="0" collapsed="false">
      <c r="A74" s="8" t="s">
        <v>912</v>
      </c>
      <c r="B74" s="8" t="s">
        <v>913</v>
      </c>
      <c r="C74" s="65" t="n">
        <f aca="false">($C$62*$C$57+$C$63*$C$58+$C$64)*$C$55</f>
        <v>1959.44372</v>
      </c>
      <c r="D74" s="8" t="s">
        <v>909</v>
      </c>
      <c r="E74" s="8" t="s">
        <v>216</v>
      </c>
      <c r="F74" s="8" t="s">
        <v>664</v>
      </c>
      <c r="G74" s="8" t="s">
        <v>914</v>
      </c>
      <c r="H74" s="8" t="s">
        <v>216</v>
      </c>
      <c r="I74" s="8"/>
    </row>
    <row r="75" customFormat="false" ht="33" hidden="false" customHeight="true" outlineLevel="0" collapsed="false">
      <c r="A75" s="10" t="s">
        <v>915</v>
      </c>
      <c r="B75" s="10" t="s">
        <v>916</v>
      </c>
      <c r="C75" s="64" t="n">
        <f aca="false">($C$65*$C$57+$C$66*$C$58+$C$67)*$C$55</f>
        <v>5954.4186</v>
      </c>
      <c r="D75" s="10" t="s">
        <v>909</v>
      </c>
      <c r="E75" s="10" t="s">
        <v>216</v>
      </c>
      <c r="F75" s="10" t="s">
        <v>664</v>
      </c>
      <c r="G75" s="10" t="s">
        <v>917</v>
      </c>
      <c r="H75" s="10" t="s">
        <v>216</v>
      </c>
      <c r="I75" s="10"/>
    </row>
    <row r="76" customFormat="false" ht="33" hidden="false" customHeight="true" outlineLevel="0" collapsed="false">
      <c r="A76" s="8" t="s">
        <v>918</v>
      </c>
      <c r="B76" s="8" t="s">
        <v>919</v>
      </c>
      <c r="C76" s="60" t="n">
        <f aca="false">IF(Pricing!$F$12=0,0,1-$C$73/Pricing!$F$12)</f>
        <v>0.997462060040027</v>
      </c>
      <c r="D76" s="8" t="s">
        <v>694</v>
      </c>
      <c r="E76" s="8" t="s">
        <v>216</v>
      </c>
      <c r="F76" s="8" t="s">
        <v>691</v>
      </c>
      <c r="G76" s="8" t="s">
        <v>920</v>
      </c>
      <c r="H76" s="8" t="s">
        <v>216</v>
      </c>
      <c r="I76" s="8"/>
    </row>
    <row r="77" customFormat="false" ht="33" hidden="false" customHeight="true" outlineLevel="0" collapsed="false">
      <c r="A77" s="10" t="s">
        <v>921</v>
      </c>
      <c r="B77" s="10" t="s">
        <v>922</v>
      </c>
      <c r="C77" s="66" t="n">
        <f aca="false">IF(Pricing!$F$13=0,0,1-$C$74/Pricing!$F$13)</f>
        <v>0.673371608601434</v>
      </c>
      <c r="D77" s="10" t="s">
        <v>694</v>
      </c>
      <c r="E77" s="10" t="s">
        <v>216</v>
      </c>
      <c r="F77" s="10" t="s">
        <v>691</v>
      </c>
      <c r="G77" s="10" t="s">
        <v>923</v>
      </c>
      <c r="H77" s="10" t="s">
        <v>216</v>
      </c>
      <c r="I77" s="10"/>
    </row>
    <row r="78" customFormat="false" ht="33" hidden="false" customHeight="true" outlineLevel="0" collapsed="false">
      <c r="A78" s="8" t="s">
        <v>924</v>
      </c>
      <c r="B78" s="8" t="s">
        <v>925</v>
      </c>
      <c r="C78" s="60" t="n">
        <f aca="false">IF(Pricing!$F$14=0,0,1-$C$75/Pricing!$F$14)</f>
        <v>0.603012294152944</v>
      </c>
      <c r="D78" s="8" t="s">
        <v>694</v>
      </c>
      <c r="E78" s="8" t="s">
        <v>216</v>
      </c>
      <c r="F78" s="8" t="s">
        <v>691</v>
      </c>
      <c r="G78" s="8" t="s">
        <v>926</v>
      </c>
      <c r="H78" s="8" t="s">
        <v>216</v>
      </c>
      <c r="I78" s="8"/>
    </row>
    <row r="79" customFormat="false" ht="33" hidden="false" customHeight="true" outlineLevel="0" collapsed="false">
      <c r="A79" s="10" t="s">
        <v>927</v>
      </c>
      <c r="B79" s="10" t="s">
        <v>928</v>
      </c>
      <c r="C79" s="66" t="n">
        <f aca="false">IF(SUMPRODUCT($C$12:$C$14,Pricing!$F$12:$F$14)=0,0,($C$12*Pricing!$F$12*$C$76+$C$13*Pricing!$F$13*$C$77+$C$14*Pricing!$F$14*$C$78)/SUMPRODUCT($C$12:$C$14,Pricing!$F$12:$F$14))</f>
        <v>0.717657156656347</v>
      </c>
      <c r="D79" s="10" t="s">
        <v>694</v>
      </c>
      <c r="E79" s="10" t="s">
        <v>216</v>
      </c>
      <c r="F79" s="10" t="s">
        <v>691</v>
      </c>
      <c r="G79" s="10" t="s">
        <v>929</v>
      </c>
      <c r="H79" s="10" t="s">
        <v>216</v>
      </c>
      <c r="I79" s="10"/>
    </row>
    <row r="80" customFormat="false" ht="33" hidden="false" customHeight="true" outlineLevel="0" collapsed="false">
      <c r="A80" s="8" t="s">
        <v>930</v>
      </c>
      <c r="B80" s="8" t="s">
        <v>931</v>
      </c>
      <c r="C80" s="23" t="n">
        <f aca="false">12*SUMPRODUCT($C$12:$C$14,Pricing!$F$12:$F$14)</f>
        <v>50388</v>
      </c>
      <c r="D80" s="8" t="s">
        <v>932</v>
      </c>
      <c r="E80" s="8" t="s">
        <v>216</v>
      </c>
      <c r="F80" s="8" t="s">
        <v>691</v>
      </c>
      <c r="G80" s="8" t="s">
        <v>933</v>
      </c>
      <c r="H80" s="8" t="s">
        <v>216</v>
      </c>
      <c r="I80" s="8"/>
    </row>
    <row r="81" customFormat="false" ht="33" hidden="false" customHeight="true" outlineLevel="0" collapsed="false">
      <c r="A81" s="10" t="s">
        <v>806</v>
      </c>
      <c r="B81" s="10" t="s">
        <v>934</v>
      </c>
      <c r="C81" s="24" t="n">
        <f aca="false">$C$80*$C$79</f>
        <v>36161.3088096</v>
      </c>
      <c r="D81" s="10" t="s">
        <v>652</v>
      </c>
      <c r="E81" s="10" t="s">
        <v>216</v>
      </c>
      <c r="F81" s="10" t="s">
        <v>664</v>
      </c>
      <c r="G81" s="10" t="s">
        <v>935</v>
      </c>
      <c r="H81" s="10" t="s">
        <v>216</v>
      </c>
      <c r="I81" s="10" t="s">
        <v>936</v>
      </c>
    </row>
    <row r="82" customFormat="false" ht="33" hidden="false" customHeight="true" outlineLevel="0" collapsed="false">
      <c r="A82" s="8" t="s">
        <v>937</v>
      </c>
      <c r="B82" s="8" t="s">
        <v>938</v>
      </c>
      <c r="C82" s="23" t="n">
        <f aca="false">IF($C$9=0,0,$C$80/12*$C$79/$C$9)</f>
        <v>150672.12004</v>
      </c>
      <c r="D82" s="8" t="s">
        <v>652</v>
      </c>
      <c r="E82" s="8" t="s">
        <v>216</v>
      </c>
      <c r="F82" s="8" t="s">
        <v>664</v>
      </c>
      <c r="G82" s="8" t="s">
        <v>939</v>
      </c>
      <c r="H82" s="8" t="s">
        <v>216</v>
      </c>
      <c r="I82" s="8"/>
    </row>
    <row r="83" customFormat="false" ht="33" hidden="false" customHeight="true" outlineLevel="0" collapsed="false">
      <c r="A83" s="10" t="s">
        <v>940</v>
      </c>
      <c r="B83" s="10" t="s">
        <v>941</v>
      </c>
      <c r="C83" s="67" t="n">
        <f aca="false">IF($C$70=0,0,$C$8/$C$70)</f>
        <v>9.29008529922347</v>
      </c>
      <c r="D83" s="10" t="s">
        <v>942</v>
      </c>
      <c r="E83" s="10" t="s">
        <v>216</v>
      </c>
      <c r="F83" s="10" t="s">
        <v>664</v>
      </c>
      <c r="G83" s="10" t="s">
        <v>943</v>
      </c>
      <c r="H83" s="10" t="s">
        <v>216</v>
      </c>
      <c r="I83" s="10"/>
    </row>
    <row r="84" customFormat="false" ht="33" hidden="false" customHeight="true" outlineLevel="0" collapsed="false">
      <c r="A84" s="8" t="s">
        <v>944</v>
      </c>
      <c r="B84" s="8" t="s">
        <v>945</v>
      </c>
      <c r="C84" s="68" t="n">
        <f aca="false">IF($C$69=0,0,$C$83/$C$69)</f>
        <v>23.2252132480587</v>
      </c>
      <c r="D84" s="8" t="s">
        <v>946</v>
      </c>
      <c r="E84" s="8" t="s">
        <v>216</v>
      </c>
      <c r="F84" s="8" t="s">
        <v>664</v>
      </c>
      <c r="G84" s="8" t="s">
        <v>947</v>
      </c>
      <c r="H84" s="8" t="s">
        <v>216</v>
      </c>
      <c r="I84" s="8"/>
    </row>
    <row r="85" customFormat="false" ht="33" hidden="false" customHeight="true" outlineLevel="0" collapsed="false">
      <c r="A85" s="10" t="s">
        <v>948</v>
      </c>
      <c r="B85" s="10" t="s">
        <v>949</v>
      </c>
      <c r="C85" s="67" t="n">
        <f aca="false">IF($C$68=0,0,$C$84/$C$68)</f>
        <v>92.9008529922347</v>
      </c>
      <c r="D85" s="10" t="s">
        <v>950</v>
      </c>
      <c r="E85" s="10" t="s">
        <v>216</v>
      </c>
      <c r="F85" s="10" t="s">
        <v>664</v>
      </c>
      <c r="G85" s="10" t="s">
        <v>951</v>
      </c>
      <c r="H85" s="10" t="s">
        <v>216</v>
      </c>
      <c r="I85" s="10"/>
    </row>
    <row r="86" customFormat="false" ht="33" hidden="false" customHeight="true" outlineLevel="0" collapsed="false">
      <c r="A86" s="8" t="s">
        <v>952</v>
      </c>
      <c r="B86" s="8" t="s">
        <v>953</v>
      </c>
      <c r="C86" s="23" t="n">
        <f aca="false">$C$71*$C$80</f>
        <v>13103953668</v>
      </c>
      <c r="D86" s="8" t="s">
        <v>932</v>
      </c>
      <c r="E86" s="8" t="s">
        <v>216</v>
      </c>
      <c r="F86" s="8" t="s">
        <v>664</v>
      </c>
      <c r="G86" s="8" t="s">
        <v>954</v>
      </c>
      <c r="H86" s="8" t="s">
        <v>216</v>
      </c>
      <c r="I86" s="8"/>
    </row>
    <row r="87" customFormat="false" ht="33" hidden="false" customHeight="true" outlineLevel="0" collapsed="false">
      <c r="A87" s="10" t="s">
        <v>955</v>
      </c>
      <c r="B87" s="10" t="s">
        <v>956</v>
      </c>
      <c r="C87" s="24" t="n">
        <f aca="false">$C$86*$C$72</f>
        <v>1310395366.8</v>
      </c>
      <c r="D87" s="10" t="s">
        <v>932</v>
      </c>
      <c r="E87" s="10" t="s">
        <v>216</v>
      </c>
      <c r="F87" s="10" t="s">
        <v>664</v>
      </c>
      <c r="G87" s="10" t="s">
        <v>957</v>
      </c>
      <c r="H87" s="10" t="s">
        <v>216</v>
      </c>
      <c r="I87" s="10"/>
    </row>
    <row r="88" customFormat="false" ht="33" hidden="false" customHeight="true" outlineLevel="0" collapsed="false">
      <c r="A88" s="8" t="s">
        <v>958</v>
      </c>
      <c r="B88" s="8" t="s">
        <v>959</v>
      </c>
      <c r="C88" s="23" t="n">
        <f aca="false">'Revenue Model'!$B$45</f>
        <v>4496415.31377745</v>
      </c>
      <c r="D88" s="8" t="s">
        <v>932</v>
      </c>
      <c r="E88" s="8" t="s">
        <v>216</v>
      </c>
      <c r="F88" s="8" t="s">
        <v>396</v>
      </c>
      <c r="G88" s="8" t="s">
        <v>960</v>
      </c>
      <c r="H88" s="8" t="s">
        <v>216</v>
      </c>
      <c r="I88" s="8"/>
    </row>
  </sheetData>
  <autoFilter ref="A20:I49"/>
  <mergeCells count="1">
    <mergeCell ref="A2:I2"/>
  </mergeCells>
  <conditionalFormatting sqref="C15">
    <cfRule type="cellIs" priority="2" operator="equal" aboveAverage="0" equalAverage="0" bottom="0" percent="0" rank="0" text="" dxfId="2">
      <formula>"Complete"</formula>
    </cfRule>
    <cfRule type="cellIs" priority="3" operator="equal" aboveAverage="0" equalAverage="0" bottom="0" percent="0" rank="0" text="" dxfId="1">
      <formula>"INCOMPLETE"</formula>
    </cfRule>
  </conditionalFormatting>
  <conditionalFormatting sqref="C21:C49">
    <cfRule type="cellIs" priority="4" operator="equal" aboveAverage="0" equalAverage="0" bottom="0" percent="0" rank="0" text="" dxfId="0">
      <formula>"TBD"</formula>
    </cfRule>
  </conditionalFormatting>
  <conditionalFormatting sqref="E5:E49">
    <cfRule type="cellIs" priority="5" operator="equal" aboveAverage="0" equalAverage="0" bottom="0" percent="0" rank="0" text="" dxfId="2">
      <formula>"Documented"</formula>
    </cfRule>
    <cfRule type="cellIs" priority="6" operator="equal" aboveAverage="0" equalAverage="0" bottom="0" percent="0" rank="0" text="" dxfId="0">
      <formula>"TBD"</formula>
    </cfRule>
    <cfRule type="cellIs" priority="7" operator="equal" aboveAverage="0" equalAverage="0" bottom="0" percent="0" rank="0" text="" dxfId="1">
      <formula>"Assumption"</formula>
    </cfRule>
  </conditionalFormatting>
  <conditionalFormatting sqref="E5:E100">
    <cfRule type="cellIs" priority="8" operator="equal" aboveAverage="0" equalAverage="0" bottom="0" percent="0" rank="0" text="" dxfId="17">
      <formula>"Estimate"</formula>
    </cfRule>
    <cfRule type="cellIs" priority="9" operator="equal" aboveAverage="0" equalAverage="0" bottom="0" percent="0" rank="0" text="" dxfId="18">
      <formula>"Calculated"</formula>
    </cfRule>
  </conditionalFormatting>
  <dataValidations count="1">
    <dataValidation allowBlank="true" error="Enter a number &gt;= 0 (percentages as e.g. 2%)." errorStyle="stop" errorTitle="Invalid input" operator="between" showDropDown="false" showErrorMessage="true" showInputMessage="false" sqref="C7:C14" type="custom">
      <formula1>OR(ISBLANK(C7),AND(ISNUMBER(C7),C7&gt;=0))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05555555556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&amp;K64748bEDGE.MEM · GTM Pricing&amp;C&amp;8 &amp;K64748b&amp;A&amp;R&amp;8 &amp;K64748bPage &amp;P of &amp;N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E123C"/>
    <pageSetUpPr fitToPage="true"/>
  </sheetPr>
  <dimension ref="A1:H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15"/>
    <col collapsed="false" customWidth="true" hidden="false" outlineLevel="0" max="3" min="3" style="1" width="40"/>
    <col collapsed="false" customWidth="true" hidden="false" outlineLevel="0" max="4" min="4" style="1" width="62"/>
    <col collapsed="false" customWidth="true" hidden="false" outlineLevel="0" max="5" min="5" style="1" width="22"/>
    <col collapsed="false" customWidth="true" hidden="false" outlineLevel="0" max="6" min="6" style="1" width="34"/>
    <col collapsed="false" customWidth="true" hidden="false" outlineLevel="0" max="7" min="7" style="1" width="26"/>
    <col collapsed="false" customWidth="true" hidden="false" outlineLevel="0" max="8" min="8" style="0" width="50"/>
  </cols>
  <sheetData>
    <row r="1" customFormat="false" ht="36" hidden="false" customHeight="true" outlineLevel="0" collapsed="false">
      <c r="A1" s="2" t="s">
        <v>961</v>
      </c>
      <c r="B1" s="3"/>
      <c r="C1" s="3"/>
      <c r="D1" s="3"/>
      <c r="E1" s="3"/>
      <c r="F1" s="3"/>
      <c r="G1" s="3"/>
    </row>
    <row r="2" customFormat="false" ht="24.75" hidden="false" customHeight="true" outlineLevel="0" collapsed="false">
      <c r="A2" s="4" t="s">
        <v>962</v>
      </c>
      <c r="B2" s="4"/>
      <c r="C2" s="4"/>
      <c r="D2" s="4"/>
      <c r="E2" s="4"/>
      <c r="F2" s="4"/>
      <c r="G2" s="4"/>
    </row>
    <row r="3" customFormat="false" ht="3.75" hidden="false" customHeight="true" outlineLevel="0" collapsed="false">
      <c r="A3" s="5"/>
      <c r="B3" s="5"/>
      <c r="C3" s="5"/>
      <c r="D3" s="5"/>
      <c r="E3" s="5"/>
      <c r="F3" s="5"/>
      <c r="G3" s="5"/>
    </row>
    <row r="4" customFormat="false" ht="27.75" hidden="false" customHeight="true" outlineLevel="0" collapsed="false">
      <c r="A4" s="6" t="s">
        <v>206</v>
      </c>
      <c r="B4" s="6" t="s">
        <v>128</v>
      </c>
      <c r="C4" s="6" t="s">
        <v>341</v>
      </c>
      <c r="D4" s="6" t="s">
        <v>237</v>
      </c>
      <c r="E4" s="6" t="s">
        <v>963</v>
      </c>
      <c r="F4" s="6" t="s">
        <v>4</v>
      </c>
      <c r="G4" s="6" t="s">
        <v>964</v>
      </c>
      <c r="H4" s="6" t="s">
        <v>965</v>
      </c>
    </row>
    <row r="5" customFormat="false" ht="45.75" hidden="false" customHeight="true" outlineLevel="0" collapsed="false">
      <c r="A5" s="8" t="s">
        <v>966</v>
      </c>
      <c r="B5" s="8" t="s">
        <v>967</v>
      </c>
      <c r="C5" s="8" t="s">
        <v>968</v>
      </c>
      <c r="D5" s="8" t="s">
        <v>969</v>
      </c>
      <c r="E5" s="8" t="s">
        <v>970</v>
      </c>
      <c r="F5" s="8" t="s">
        <v>971</v>
      </c>
      <c r="G5" s="8" t="s">
        <v>972</v>
      </c>
      <c r="H5" s="8" t="s">
        <v>973</v>
      </c>
    </row>
    <row r="6" customFormat="false" ht="45.75" hidden="false" customHeight="true" outlineLevel="0" collapsed="false">
      <c r="A6" s="10" t="s">
        <v>974</v>
      </c>
      <c r="B6" s="10" t="s">
        <v>967</v>
      </c>
      <c r="C6" s="10" t="s">
        <v>975</v>
      </c>
      <c r="D6" s="10" t="s">
        <v>976</v>
      </c>
      <c r="E6" s="10" t="s">
        <v>977</v>
      </c>
      <c r="F6" s="10" t="s">
        <v>978</v>
      </c>
      <c r="G6" s="10" t="s">
        <v>979</v>
      </c>
      <c r="H6" s="10" t="s">
        <v>980</v>
      </c>
    </row>
    <row r="7" customFormat="false" ht="33" hidden="false" customHeight="true" outlineLevel="0" collapsed="false">
      <c r="A7" s="8" t="s">
        <v>981</v>
      </c>
      <c r="B7" s="8" t="s">
        <v>982</v>
      </c>
      <c r="C7" s="8" t="s">
        <v>983</v>
      </c>
      <c r="D7" s="8" t="s">
        <v>984</v>
      </c>
      <c r="E7" s="8" t="s">
        <v>985</v>
      </c>
      <c r="F7" s="8" t="s">
        <v>986</v>
      </c>
      <c r="G7" s="8" t="s">
        <v>215</v>
      </c>
      <c r="H7" s="8" t="s">
        <v>987</v>
      </c>
    </row>
    <row r="8" customFormat="false" ht="33" hidden="false" customHeight="true" outlineLevel="0" collapsed="false">
      <c r="A8" s="10" t="s">
        <v>988</v>
      </c>
      <c r="B8" s="10" t="s">
        <v>989</v>
      </c>
      <c r="C8" s="10" t="s">
        <v>990</v>
      </c>
      <c r="D8" s="10" t="s">
        <v>991</v>
      </c>
      <c r="E8" s="10" t="s">
        <v>472</v>
      </c>
      <c r="F8" s="10" t="s">
        <v>752</v>
      </c>
      <c r="G8" s="10" t="s">
        <v>992</v>
      </c>
      <c r="H8" s="10" t="s">
        <v>987</v>
      </c>
    </row>
    <row r="9" customFormat="false" ht="33" hidden="false" customHeight="true" outlineLevel="0" collapsed="false">
      <c r="A9" s="8" t="s">
        <v>993</v>
      </c>
      <c r="B9" s="8" t="s">
        <v>994</v>
      </c>
      <c r="C9" s="8" t="s">
        <v>995</v>
      </c>
      <c r="D9" s="8" t="s">
        <v>996</v>
      </c>
      <c r="E9" s="8" t="s">
        <v>970</v>
      </c>
      <c r="F9" s="8" t="s">
        <v>997</v>
      </c>
      <c r="G9" s="8" t="s">
        <v>998</v>
      </c>
      <c r="H9" s="8" t="s">
        <v>999</v>
      </c>
    </row>
    <row r="10" customFormat="false" ht="33" hidden="false" customHeight="true" outlineLevel="0" collapsed="false">
      <c r="A10" s="10" t="s">
        <v>1000</v>
      </c>
      <c r="B10" s="10" t="s">
        <v>994</v>
      </c>
      <c r="C10" s="10" t="s">
        <v>1001</v>
      </c>
      <c r="D10" s="10" t="s">
        <v>1002</v>
      </c>
      <c r="E10" s="10" t="s">
        <v>396</v>
      </c>
      <c r="F10" s="10" t="s">
        <v>659</v>
      </c>
      <c r="G10" s="10" t="s">
        <v>1003</v>
      </c>
      <c r="H10" s="10" t="s">
        <v>1004</v>
      </c>
    </row>
    <row r="11" customFormat="false" ht="33" hidden="false" customHeight="true" outlineLevel="0" collapsed="false">
      <c r="A11" s="8" t="s">
        <v>1005</v>
      </c>
      <c r="B11" s="8" t="s">
        <v>994</v>
      </c>
      <c r="C11" s="8" t="s">
        <v>1006</v>
      </c>
      <c r="D11" s="8" t="s">
        <v>1007</v>
      </c>
      <c r="E11" s="8" t="s">
        <v>147</v>
      </c>
      <c r="F11" s="8" t="s">
        <v>659</v>
      </c>
      <c r="G11" s="8" t="s">
        <v>215</v>
      </c>
      <c r="H11" s="8" t="s">
        <v>1008</v>
      </c>
    </row>
    <row r="12" customFormat="false" ht="20.25" hidden="false" customHeight="true" outlineLevel="0" collapsed="false">
      <c r="A12" s="10" t="s">
        <v>1009</v>
      </c>
      <c r="B12" s="10" t="s">
        <v>994</v>
      </c>
      <c r="C12" s="10" t="s">
        <v>1010</v>
      </c>
      <c r="D12" s="10" t="s">
        <v>1011</v>
      </c>
      <c r="E12" s="10" t="s">
        <v>1012</v>
      </c>
      <c r="F12" s="10" t="s">
        <v>137</v>
      </c>
      <c r="G12" s="10" t="s">
        <v>258</v>
      </c>
      <c r="H12" s="10" t="s">
        <v>1013</v>
      </c>
    </row>
    <row r="13" customFormat="false" ht="20.25" hidden="false" customHeight="true" outlineLevel="0" collapsed="false">
      <c r="A13" s="8" t="s">
        <v>1014</v>
      </c>
      <c r="B13" s="8" t="s">
        <v>994</v>
      </c>
      <c r="C13" s="8" t="s">
        <v>1015</v>
      </c>
      <c r="D13" s="8" t="s">
        <v>43</v>
      </c>
      <c r="E13" s="8" t="s">
        <v>1016</v>
      </c>
      <c r="F13" s="8" t="s">
        <v>659</v>
      </c>
      <c r="G13" s="8" t="s">
        <v>1017</v>
      </c>
      <c r="H13" s="8" t="s">
        <v>1018</v>
      </c>
    </row>
    <row r="14" customFormat="false" ht="33" hidden="false" customHeight="true" outlineLevel="0" collapsed="false">
      <c r="A14" s="10" t="s">
        <v>1019</v>
      </c>
      <c r="B14" s="10" t="s">
        <v>994</v>
      </c>
      <c r="C14" s="10" t="s">
        <v>1020</v>
      </c>
      <c r="D14" s="10" t="s">
        <v>1021</v>
      </c>
      <c r="E14" s="10" t="s">
        <v>396</v>
      </c>
      <c r="F14" s="10" t="s">
        <v>659</v>
      </c>
      <c r="G14" s="10" t="s">
        <v>215</v>
      </c>
      <c r="H14" s="10" t="s">
        <v>1022</v>
      </c>
    </row>
    <row r="15" customFormat="false" ht="20.25" hidden="false" customHeight="true" outlineLevel="0" collapsed="false">
      <c r="A15" s="8" t="s">
        <v>1023</v>
      </c>
      <c r="B15" s="8" t="s">
        <v>994</v>
      </c>
      <c r="C15" s="8" t="s">
        <v>1024</v>
      </c>
      <c r="D15" s="8" t="s">
        <v>1025</v>
      </c>
      <c r="E15" s="8" t="s">
        <v>1026</v>
      </c>
      <c r="F15" s="8" t="s">
        <v>1027</v>
      </c>
      <c r="G15" s="8" t="s">
        <v>215</v>
      </c>
      <c r="H15" s="8" t="s">
        <v>1028</v>
      </c>
    </row>
    <row r="16" customFormat="false" ht="20.25" hidden="false" customHeight="true" outlineLevel="0" collapsed="false">
      <c r="A16" s="10" t="s">
        <v>1029</v>
      </c>
      <c r="B16" s="10" t="s">
        <v>994</v>
      </c>
      <c r="C16" s="10" t="s">
        <v>1030</v>
      </c>
      <c r="D16" s="10" t="s">
        <v>1031</v>
      </c>
      <c r="E16" s="10" t="s">
        <v>1032</v>
      </c>
      <c r="F16" s="10" t="s">
        <v>659</v>
      </c>
      <c r="G16" s="10" t="s">
        <v>1033</v>
      </c>
      <c r="H16" s="10" t="s">
        <v>1034</v>
      </c>
    </row>
    <row r="17" customFormat="false" ht="20.25" hidden="false" customHeight="true" outlineLevel="0" collapsed="false">
      <c r="A17" s="8" t="s">
        <v>1035</v>
      </c>
      <c r="B17" s="8" t="s">
        <v>1036</v>
      </c>
      <c r="C17" s="8" t="s">
        <v>1037</v>
      </c>
      <c r="D17" s="8" t="s">
        <v>1038</v>
      </c>
      <c r="E17" s="8" t="s">
        <v>970</v>
      </c>
      <c r="F17" s="8" t="s">
        <v>1039</v>
      </c>
      <c r="G17" s="8" t="s">
        <v>1040</v>
      </c>
      <c r="H17" s="8" t="s">
        <v>1041</v>
      </c>
    </row>
    <row r="18" customFormat="false" ht="33" hidden="false" customHeight="true" outlineLevel="0" collapsed="false">
      <c r="A18" s="10" t="s">
        <v>1042</v>
      </c>
      <c r="B18" s="10" t="s">
        <v>1036</v>
      </c>
      <c r="C18" s="10" t="s">
        <v>1043</v>
      </c>
      <c r="D18" s="10" t="s">
        <v>1044</v>
      </c>
      <c r="E18" s="10" t="s">
        <v>1012</v>
      </c>
      <c r="F18" s="10" t="s">
        <v>91</v>
      </c>
      <c r="G18" s="10" t="s">
        <v>1045</v>
      </c>
      <c r="H18" s="10" t="s">
        <v>987</v>
      </c>
    </row>
    <row r="19" customFormat="false" ht="33" hidden="false" customHeight="true" outlineLevel="0" collapsed="false">
      <c r="A19" s="8" t="s">
        <v>1046</v>
      </c>
      <c r="B19" s="8" t="s">
        <v>1047</v>
      </c>
      <c r="C19" s="8" t="s">
        <v>255</v>
      </c>
      <c r="D19" s="8" t="s">
        <v>1048</v>
      </c>
      <c r="E19" s="8" t="s">
        <v>1049</v>
      </c>
      <c r="F19" s="8" t="s">
        <v>257</v>
      </c>
      <c r="G19" s="8" t="s">
        <v>1050</v>
      </c>
      <c r="H19" s="8" t="s">
        <v>987</v>
      </c>
    </row>
  </sheetData>
  <autoFilter ref="A4:G19"/>
  <mergeCells count="1">
    <mergeCell ref="A2:G2"/>
  </mergeCells>
  <conditionalFormatting sqref="B5:B19">
    <cfRule type="cellIs" priority="2" operator="equal" aboveAverage="0" equalAverage="0" bottom="0" percent="0" rank="0" text="" dxfId="1">
      <formula>"Contradiction"</formula>
    </cfRule>
    <cfRule type="cellIs" priority="3" operator="equal" aboveAverage="0" equalAverage="0" bottom="0" percent="0" rank="0" text="" dxfId="0">
      <formula>"Missing"</formula>
    </cfRule>
  </conditionalFormatting>
  <printOptions headings="false" gridLines="false" gridLinesSet="true" horizontalCentered="false" verticalCentered="false"/>
  <pageMargins left="0.4" right="0.4" top="0.5" bottom="0.5" header="0.511811023622047" footer="0.511805555555556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&amp;K64748bEDGE.MEM · GTM Pricing&amp;C&amp;8 &amp;K64748b&amp;A&amp;R&amp;8 &amp;K64748bPage &amp;P of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2026-09-29T17:06:08Z</dcterms:created>
  <dc:creator>openpyxl</dc:creator>
  <dc:description/>
  <dc:language>en-IN</dc:language>
  <cp:lastModifiedBy/>
  <dcterms:modified xsi:type="dcterms:W3CDTF">2026-09-30T15:43:45Z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