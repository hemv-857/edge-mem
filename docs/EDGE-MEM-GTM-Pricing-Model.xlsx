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ICP &amp; Segmentation" sheetId="2" state="visible" r:id="rId4"/>
    <sheet name="GTM Strategy" sheetId="3" state="visible" r:id="rId5"/>
    <sheet name="Pricing" sheetId="4" state="visible" r:id="rId6"/>
    <sheet name="Revenue Model" sheetId="5" state="visible" r:id="rId7"/>
    <sheet name="Competitive Positioning" sheetId="6" state="visible" r:id="rId8"/>
    <sheet name="Assumptions &amp; Sources" sheetId="7" state="visible" r:id="rId9"/>
    <sheet name="Open Items" sheetId="8" state="visible" r:id="rId10"/>
  </sheets>
  <definedNames>
    <definedName function="false" hidden="true" localSheetId="6" name="_xlnm._FilterDatabase" vbProcedure="false">'Assumptions &amp; Sources'!$A$20:$I$49</definedName>
    <definedName function="false" hidden="true" localSheetId="5" name="_xlnm._FilterDatabase" vbProcedure="false">'Competitive Positioning'!$A$4:$R$20</definedName>
    <definedName function="false" hidden="true" localSheetId="1" name="_xlnm._FilterDatabase" vbProcedure="false">'ICP &amp; Segmentation'!$A$4:$L$9</definedName>
    <definedName function="false" hidden="false" localSheetId="7" name="_xlnm.Print_Titles" vbProcedure="false">'Open Items'!$4:$4</definedName>
    <definedName function="false" hidden="true" localSheetId="7" name="_xlnm._FilterDatabase" vbProcedure="false">'Open Items'!$A$4:$G$19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<sst xmlns="http://schemas.openxmlformats.org/spreadsheetml/2006/main" count="1378" uniqueCount="801">
  <si>
    <t xml:space="preserve">EDGE.MEM - GTM &amp; Pricing Workbook</t>
  </si>
  <si>
    <t xml:space="preserve">Built only from docs/. Green = documented, amber = TBD, red = conflict or open. No number here is invented.</t>
  </si>
  <si>
    <t xml:space="preserve">Topic</t>
  </si>
  <si>
    <t xml:space="preserve">Summary</t>
  </si>
  <si>
    <t xml:space="preserve">Source</t>
  </si>
  <si>
    <t xml:space="preserve">Product overview</t>
  </si>
  <si>
    <t xml:space="preserve">EDGE.MEM is an offline-first knowledge engine for industrial edge devices: on-device hybrid (dense + BM25) search, policy-driven data residency, edge-to-cloud sync with explicit conflict cards, federation across devices, snapshot handoff, and an optional cloud LLM. An 8-tab console ships with it.</t>
  </si>
  <si>
    <t xml:space="preserve">docs/PRD.md - Goals, Features (shipped)</t>
  </si>
  <si>
    <t xml:space="preserve">Target customer</t>
  </si>
  <si>
    <t xml:space="preserve">Field technicians at industrial sites (plants, rigs, substations), with reliability engineers and site admins in the same organisation. Which role buys is not documented.</t>
  </si>
  <si>
    <t xml:space="preserve">docs/PRD.md - Problem, Users</t>
  </si>
  <si>
    <t xml:space="preserve">Core value proposition</t>
  </si>
  <si>
    <t xml:space="preserve">Answers and notes are available when connectivity is worst, and notes marked restricted never leave the device, by policy rather than by hope.</t>
  </si>
  <si>
    <t xml:space="preserve">docs/PRD.md - Problem, Goals 1-3</t>
  </si>
  <si>
    <t xml:space="preserve">GTM strategy</t>
  </si>
  <si>
    <t xml:space="preserve">NOT DOCUMENTED. docs/ has no channels, motion, funnel or timeline. The GTM Strategy sheet holds the documented value proposition, demo assets and prerequisites; everything else is TBD.</t>
  </si>
  <si>
    <t xml:space="preserve">GTM Strategy sheet</t>
  </si>
  <si>
    <t xml:space="preserve">Pricing strategy</t>
  </si>
  <si>
    <t xml:space="preserve">NOT DECIDED. No price, tier or billing term exists. The landscape records a market pattern (free/open core, paid sync/hosting/enterprise) and three candidate metrics (per device, per synced GB, per fleet). Pricing sheet is a ready structure with TBD cells.</t>
  </si>
  <si>
    <t xml:space="preserve">docs/COMPETITIVE-LANDSCAPE.md - s.5, s.8</t>
  </si>
  <si>
    <t xml:space="preserve">Key assumptions</t>
  </si>
  <si>
    <t xml:space="preserve">USD as currency (assumption). All revenue-model inputs are blank on purpose.</t>
  </si>
  <si>
    <t xml:space="preserve">Assumptions &amp; Sources</t>
  </si>
  <si>
    <t xml:space="preserve">Product KPIs (documented)</t>
  </si>
  <si>
    <t xml:space="preserve">Offline hybrid search p95 under 10 ms; zero restricted points in cloud collections; audit green in CI. These are product metrics, not GTM metrics.</t>
  </si>
  <si>
    <t xml:space="preserve">docs/PRD.md - Success metrics</t>
  </si>
  <si>
    <t xml:space="preserve">GTM / revenue KPIs</t>
  </si>
  <si>
    <t xml:space="preserve">TBD. No doc defines acquisition, conversion, retention or revenue targets.</t>
  </si>
  <si>
    <t xml:space="preserve">-</t>
  </si>
  <si>
    <t xml:space="preserve">Readiness dashboard (live formulas)</t>
  </si>
  <si>
    <t xml:space="preserve">Measure</t>
  </si>
  <si>
    <t xml:space="preserve">Value</t>
  </si>
  <si>
    <t xml:space="preserve">Meaning</t>
  </si>
  <si>
    <t xml:space="preserve">Revenue model status</t>
  </si>
  <si>
    <t xml:space="preserve">Complete only when every input is filled and tiers are priced.</t>
  </si>
  <si>
    <t xml:space="preserve">Model inputs still blank</t>
  </si>
  <si>
    <t xml:space="preserve">Out of 8 numeric inputs.</t>
  </si>
  <si>
    <t xml:space="preserve">Documented facts in register</t>
  </si>
  <si>
    <t xml:space="preserve">Have a source document and section.</t>
  </si>
  <si>
    <t xml:space="preserve">Calculated values</t>
  </si>
  <si>
    <t xml:space="preserve">Derived by formula.</t>
  </si>
  <si>
    <t xml:space="preserve">Assumptions</t>
  </si>
  <si>
    <t xml:space="preserve">Necessary but not documented; must be confirmed.</t>
  </si>
  <si>
    <t xml:space="preserve">TBD items</t>
  </si>
  <si>
    <t xml:space="preserve">Not documented.</t>
  </si>
  <si>
    <t xml:space="preserve">TBD cells in GTM Strategy</t>
  </si>
  <si>
    <t xml:space="preserve">Channels, motion, KPIs, timeline.</t>
  </si>
  <si>
    <t xml:space="preserve">Tiers with a monthly price</t>
  </si>
  <si>
    <t xml:space="preserve">Pricing sheet section B.</t>
  </si>
  <si>
    <t xml:space="preserve">Open contradictions</t>
  </si>
  <si>
    <t xml:space="preserve">See Open Items.</t>
  </si>
  <si>
    <t xml:space="preserve">Open items in total</t>
  </si>
  <si>
    <t xml:space="preserve">Year 1 revenue</t>
  </si>
  <si>
    <t xml:space="preserve">TBD until inputs are complete.</t>
  </si>
  <si>
    <t xml:space="preserve">Month-24 annualised run-rate</t>
  </si>
  <si>
    <t xml:space="preserve">ICP &amp; Segmentation</t>
  </si>
  <si>
    <t xml:space="preserve">Only S1 is supported by docs/. S2-S5 are hypotheses or out-of-docs inputs and are labelled so. Attractiveness is TBD: no doc scores segments.</t>
  </si>
  <si>
    <t xml:space="preserve">ID</t>
  </si>
  <si>
    <t xml:space="preserve">Customer segment</t>
  </si>
  <si>
    <t xml:space="preserve">Customer type</t>
  </si>
  <si>
    <t xml:space="preserve">Company / customer characteristics</t>
  </si>
  <si>
    <t xml:space="preserve">Pain points</t>
  </si>
  <si>
    <t xml:space="preserve">Needs</t>
  </si>
  <si>
    <t xml:space="preserve">Use cases</t>
  </si>
  <si>
    <t xml:space="preserve">Buying triggers</t>
  </si>
  <si>
    <t xml:space="preserve">Decision makers</t>
  </si>
  <si>
    <t xml:space="preserve">Attractiveness</t>
  </si>
  <si>
    <t xml:space="preserve">Status</t>
  </si>
  <si>
    <t xml:space="preserve">S1</t>
  </si>
  <si>
    <t xml:space="preserve">Industrial sites: plants, rigs, substations</t>
  </si>
  <si>
    <t xml:space="preserve">Industrial operator (site-level)</t>
  </si>
  <si>
    <t xml:space="preserve">Field technicians work at sites where connectivity is often poor; some notes (personnel, contractor, restricted) must stay on the device.</t>
  </si>
  <si>
    <t xml:space="preserve">Cloud-only knowledge bases fail exactly when connectivity is worst; sensitive notes cannot leave the device.</t>
  </si>
  <si>
    <t xml:space="preserve">Offline hybrid search (single-digit ms p95 target); policy-driven residency; sync with explicit conflict cards; fleet visibility.</t>
  </si>
  <si>
    <t xml:space="preserve">Technician searches past incidents, manuals and sensor context offline and writes notes; reliability engineer reviews synced incidents and distils SOPs; site admin sets residency policy.</t>
  </si>
  <si>
    <t xml:space="preserve">TBD</t>
  </si>
  <si>
    <t xml:space="preserve">Documented (segment + pain); rest TBD</t>
  </si>
  <si>
    <t xml:space="preserve">docs/PRD.md - Problem, Users, Goals</t>
  </si>
  <si>
    <t xml:space="preserve">S2</t>
  </si>
  <si>
    <t xml:space="preserve">Robots, kiosks, vehicles, mobile devices (edge AI)</t>
  </si>
  <si>
    <t xml:space="preserve">Edge-device builders / operators</t>
  </si>
  <si>
    <t xml:space="preserve">Devices that must search locally generated information without a continuous cloud dependency.</t>
  </si>
  <si>
    <t xml:space="preserve">Limited connectivity, critical latency, data that cannot always leave the device.</t>
  </si>
  <si>
    <t xml:space="preserve">Local semantic memory; sync when connectivity returns.</t>
  </si>
  <si>
    <t xml:space="preserve">Not in docs/ - requires confirmation</t>
  </si>
  <si>
    <t xml:space="preserve">Hackathon Problem Statement 03 (given in chat; not in docs/)</t>
  </si>
  <si>
    <t xml:space="preserve">S3</t>
  </si>
  <si>
    <t xml:space="preserve">Regulated / air-gapped sites</t>
  </si>
  <si>
    <t xml:space="preserve">Regulated operator</t>
  </si>
  <si>
    <t xml:space="preserve">Hypothesis: sites that need a provable 'data never leaves the device' control.</t>
  </si>
  <si>
    <t xml:space="preserve">Hypothesis only.</t>
  </si>
  <si>
    <t xml:space="preserve">Provable residency; auth and roles (PRD S9 is open); audit trail of what left the device.</t>
  </si>
  <si>
    <t xml:space="preserve">Hypothesis - unvalidated</t>
  </si>
  <si>
    <t xml:space="preserve">docs/COMPETITIVE-LANDSCAPE.md - s.7 (row 1), s.8</t>
  </si>
  <si>
    <t xml:space="preserve">S4</t>
  </si>
  <si>
    <t xml:space="preserve">Teams migrating off MongoDB Realm / Atlas Device Sync</t>
  </si>
  <si>
    <t xml:space="preserve">Mobile/edge app teams</t>
  </si>
  <si>
    <t xml:space="preserve">Hypothesis: apps orphaned by the 2025-09-30 Device Sync shutdown.</t>
  </si>
  <si>
    <t xml:space="preserve">Sync service ended.</t>
  </si>
  <si>
    <t xml:space="preserve">A replacement sync story.</t>
  </si>
  <si>
    <t xml:space="preserve">Device Sync end-of-life (2025-09-30, secondary sources)</t>
  </si>
  <si>
    <t xml:space="preserve">Hypothesis - weak fit (EDGE.MEM has no mobile SDK)</t>
  </si>
  <si>
    <t xml:space="preserve">docs/COMPETITIVE-LANDSCAPE.md - s.7 (row 2)</t>
  </si>
  <si>
    <t xml:space="preserve">S5</t>
  </si>
  <si>
    <t xml:space="preserve">Field-service AI buyers who need offline</t>
  </si>
  <si>
    <t xml:space="preserve">Service organisations</t>
  </si>
  <si>
    <t xml:space="preserve">Hypothesis: buyers of SaaS field-service AI whose products make no offline claim (Aquant page reviewed; others unread).</t>
  </si>
  <si>
    <t xml:space="preserve">Offline retrieval.</t>
  </si>
  <si>
    <t xml:space="preserve">docs/COMPETITIVE-LANDSCAPE.md - s.7 (row 3)</t>
  </si>
  <si>
    <t xml:space="preserve">User roles inside a customer (PRD 'Users'); which role is the buyer is not documented</t>
  </si>
  <si>
    <t xml:space="preserve">Role</t>
  </si>
  <si>
    <t xml:space="preserve">Type</t>
  </si>
  <si>
    <t xml:space="preserve">What they do</t>
  </si>
  <si>
    <t xml:space="preserve">Buying role</t>
  </si>
  <si>
    <t xml:space="preserve">U1</t>
  </si>
  <si>
    <t xml:space="preserve">Field technician</t>
  </si>
  <si>
    <t xml:space="preserve">User</t>
  </si>
  <si>
    <t xml:space="preserve">Searches and writes notes on a device, often offline.</t>
  </si>
  <si>
    <t xml:space="preserve">Documented (role); buying role TBD</t>
  </si>
  <si>
    <t xml:space="preserve">docs/PRD.md - Users</t>
  </si>
  <si>
    <t xml:space="preserve">U2</t>
  </si>
  <si>
    <t xml:space="preserve">Reliability engineer</t>
  </si>
  <si>
    <t xml:space="preserve">Reviews synced incidents, distils them into SOPs.</t>
  </si>
  <si>
    <t xml:space="preserve">U3</t>
  </si>
  <si>
    <t xml:space="preserve">Site admin</t>
  </si>
  <si>
    <t xml:space="preserve">User / policy owner</t>
  </si>
  <si>
    <t xml:space="preserve">Sets data-residency policy and manages the fleet.</t>
  </si>
  <si>
    <t xml:space="preserve">GTM Strategy</t>
  </si>
  <si>
    <t xml:space="preserve">docs/ contains no GTM plan. Channels, motion, KPIs and timeline are TBD. What IS documented: the value proposition, existing demo assets and the prerequisites below.</t>
  </si>
  <si>
    <t xml:space="preserve">Target segment</t>
  </si>
  <si>
    <t xml:space="preserve">Value proposition</t>
  </si>
  <si>
    <t xml:space="preserve">Acquisition channel</t>
  </si>
  <si>
    <t xml:space="preserve">Sales channel</t>
  </si>
  <si>
    <t xml:space="preserve">Distribution channel (today)</t>
  </si>
  <si>
    <t xml:space="preserve">Marketing approach</t>
  </si>
  <si>
    <t xml:space="preserve">Sales motion</t>
  </si>
  <si>
    <t xml:space="preserve">Key activities</t>
  </si>
  <si>
    <t xml:space="preserve">KPIs</t>
  </si>
  <si>
    <t xml:space="preserve">Phase / timeline</t>
  </si>
  <si>
    <t xml:space="preserve">Industrial sites</t>
  </si>
  <si>
    <t xml:space="preserve">Search past incidents, manuals and sensor context with no network; keep restricted notes on the device by policy; sync with explicit conflict cards when connectivity returns (PRD Problem, Goals 1-3).</t>
  </si>
  <si>
    <t xml:space="preserve">Self-hosted from the repo via start.sh + bun (README, not docs/); no licence declared - TBD</t>
  </si>
  <si>
    <t xml:space="preserve">Value prop documented; go-to-market TBD</t>
  </si>
  <si>
    <t xml:space="preserve">Robots, kiosks, vehicles, mobile devices</t>
  </si>
  <si>
    <t xml:space="preserve">Local semantic memory without a continuous cloud dependency (Hackathon Problem Statement 03 (given in chat; not in docs/))</t>
  </si>
  <si>
    <t xml:space="preserve">Hypothesis: provable data residency (landscape s.7)</t>
  </si>
  <si>
    <t xml:space="preserve">Hypothesis</t>
  </si>
  <si>
    <t xml:space="preserve">Realm / Device Sync migrants</t>
  </si>
  <si>
    <t xml:space="preserve">Hypothesis: replacement sync (landscape s.7)</t>
  </si>
  <si>
    <t xml:space="preserve">Field-service AI buyers</t>
  </si>
  <si>
    <t xml:space="preserve">Hypothesis: offline retrieval wedge (landscape s.7)</t>
  </si>
  <si>
    <t xml:space="preserve">Customer journey and conversion stages (template stages; definitions and targets are TBD; assets are documented product features)</t>
  </si>
  <si>
    <t xml:space="preserve">#</t>
  </si>
  <si>
    <t xml:space="preserve">Stage</t>
  </si>
  <si>
    <t xml:space="preserve">Existing product asset (documented)</t>
  </si>
  <si>
    <t xml:space="preserve">Conversion metric</t>
  </si>
  <si>
    <t xml:space="preserve">Target</t>
  </si>
  <si>
    <t xml:space="preserve">Owner</t>
  </si>
  <si>
    <t xml:space="preserve">Awareness</t>
  </si>
  <si>
    <t xml:space="preserve">none documented</t>
  </si>
  <si>
    <t xml:space="preserve">Template stage - confirm</t>
  </si>
  <si>
    <t xml:space="preserve">Evaluation / demo</t>
  </si>
  <si>
    <t xml:space="preserve">Overview tab: fleet-learning hero + demo walkthrough (PRD Features)</t>
  </si>
  <si>
    <t xml:space="preserve">Pilot</t>
  </si>
  <si>
    <t xml:space="preserve">Bootstrap a device from cloud; snapshot handoff; policy simulate (PRD Features, Goals 5)</t>
  </si>
  <si>
    <t xml:space="preserve">Purchase</t>
  </si>
  <si>
    <t xml:space="preserve">none documented (no pricing, licence or contract terms)</t>
  </si>
  <si>
    <t xml:space="preserve">Onboarding</t>
  </si>
  <si>
    <t xml:space="preserve">Policy engine with decision trace; Cloud browser (PRD Features)</t>
  </si>
  <si>
    <t xml:space="preserve">Expansion</t>
  </si>
  <si>
    <t xml:space="preserve">Federation across devices; fleet overview (PRD Goals 4, Features)</t>
  </si>
  <si>
    <t xml:space="preserve">GTM prerequisites and blockers documented in docs/ (must be resolved before selling)</t>
  </si>
  <si>
    <t xml:space="preserve">Prerequisite</t>
  </si>
  <si>
    <t xml:space="preserve">Detail</t>
  </si>
  <si>
    <t xml:space="preserve">Decide a licence</t>
  </si>
  <si>
    <t xml:space="preserve">The repo declares none; nothing is commercially usable until it does.</t>
  </si>
  <si>
    <t xml:space="preserve">Open</t>
  </si>
  <si>
    <t xml:space="preserve">docs/COMPETITIVE-LANDSCAPE.md - s.8 (product 1)</t>
  </si>
  <si>
    <t xml:space="preserve">Confirm Qdrant Edge redistribution terms</t>
  </si>
  <si>
    <t xml:space="preserve">The engine is beta and no licence terms were found on the pages reviewed.</t>
  </si>
  <si>
    <t xml:space="preserve">docs/COMPETITIVE-LANDSCAPE.md - s.9 (#3)</t>
  </si>
  <si>
    <t xml:space="preserve">Auth and roles (PRD S9)</t>
  </si>
  <si>
    <t xml:space="preserve">No role separation for policy or cloud delete; a multi-user deployment is unsafe.</t>
  </si>
  <si>
    <t xml:space="preserve">docs/PRD.md - S9</t>
  </si>
  <si>
    <t xml:space="preserve">Verify the residency differentiator</t>
  </si>
  <si>
    <t xml:space="preserve">Couchbase channels and ObjectBox / Turso sync filtering may match it; do not make it the headline until checked.</t>
  </si>
  <si>
    <t xml:space="preserve">docs/COMPETITIVE-LANDSCAPE.md - s.8 (product 2), s.9 (#1)</t>
  </si>
  <si>
    <t xml:space="preserve">Audit trail of what left the device</t>
  </si>
  <si>
    <t xml:space="preserve">Recommended to close the trust gap Actian sells into.</t>
  </si>
  <si>
    <t xml:space="preserve">Recommended - not built</t>
  </si>
  <si>
    <t xml:space="preserve">docs/COMPETITIVE-LANDSCAPE.md - s.8 (product 3)</t>
  </si>
  <si>
    <t xml:space="preserve">Re-run the e2e audit</t>
  </si>
  <si>
    <t xml:space="preserve">The landscape notes the EDGE.MEM row rests on unit tests; the audit was not re-run.</t>
  </si>
  <si>
    <t xml:space="preserve">docs/COMPETITIVE-LANDSCAPE.md - s.9 (#10)</t>
  </si>
  <si>
    <t xml:space="preserve">Buyer interviews</t>
  </si>
  <si>
    <t xml:space="preserve">5 to 10 plant IT/OT or security leads to validate demand and willingness to pay.</t>
  </si>
  <si>
    <t xml:space="preserve">docs/COMPETITIVE-LANDSCAPE.md - s.7, s.9 (#9)</t>
  </si>
  <si>
    <t xml:space="preserve">Pricing</t>
  </si>
  <si>
    <t xml:space="preserve">No price, tier, package or billing term exists in docs/. Structure is ready; every decision cell is TBD (yellow).</t>
  </si>
  <si>
    <t xml:space="preserve">A. Pricing decisions</t>
  </si>
  <si>
    <t xml:space="preserve">Decision</t>
  </si>
  <si>
    <t xml:space="preserve">Source / basis</t>
  </si>
  <si>
    <t xml:space="preserve">Notes</t>
  </si>
  <si>
    <t xml:space="preserve">Pricing metric (billable unit)</t>
  </si>
  <si>
    <t xml:space="preserve">docs/COMPETITIVE-LANDSCAPE.md s.8 (candidates only)</t>
  </si>
  <si>
    <t xml:space="preserve">Options: Per device, Per synced GB, Per fleet, Other.</t>
  </si>
  <si>
    <t xml:space="preserve">Free tier offered?</t>
  </si>
  <si>
    <t xml:space="preserve">not documented</t>
  </si>
  <si>
    <t xml:space="preserve">Market pattern (landscape s.5): free or open core is common.</t>
  </si>
  <si>
    <t xml:space="preserve">Delivery model for paid offering</t>
  </si>
  <si>
    <t xml:space="preserve">Self-hosted (README today) vs hosted. PRD non-goal excludes multi-tenant SaaS.</t>
  </si>
  <si>
    <t xml:space="preserve">B. Tiers and packages (names, prices, billing frequency, limits are inputs)</t>
  </si>
  <si>
    <t xml:space="preserve">Tier</t>
  </si>
  <si>
    <t xml:space="preserve">Tier name</t>
  </si>
  <si>
    <t xml:space="preserve">Price (USD)</t>
  </si>
  <si>
    <t xml:space="preserve">Billing frequency</t>
  </si>
  <si>
    <t xml:space="preserve">Monthly-equivalent price (USD)</t>
  </si>
  <si>
    <t xml:space="preserve">Usage limits</t>
  </si>
  <si>
    <t xml:space="preserve">Discount</t>
  </si>
  <si>
    <t xml:space="preserve">Tier A</t>
  </si>
  <si>
    <t xml:space="preserve">None documented</t>
  </si>
  <si>
    <t xml:space="preserve">Template slot. Rename, or leave blank and set the tier share to 0% on Assumptions &amp; Sources.</t>
  </si>
  <si>
    <t xml:space="preserve">Tier B</t>
  </si>
  <si>
    <t xml:space="preserve">Tier C</t>
  </si>
  <si>
    <t xml:space="preserve">C. Features by tier (all availability is TBD; features are the shipped ones from the PRD)</t>
  </si>
  <si>
    <t xml:space="preserve">Feature</t>
  </si>
  <si>
    <t xml:space="preserve">PRD source</t>
  </si>
  <si>
    <t xml:space="preserve">Hybrid dense + BM25 search, on-device, offline</t>
  </si>
  <si>
    <t xml:space="preserve">docs/PRD.md - Goals 1; Features: Search</t>
  </si>
  <si>
    <t xml:space="preserve">Filters and score breakdown; mode compare</t>
  </si>
  <si>
    <t xml:space="preserve">docs/PRD.md - Features: Search</t>
  </si>
  <si>
    <t xml:space="preserve">Policy-driven residency (local_only / queued / sync_now)</t>
  </si>
  <si>
    <t xml:space="preserve">docs/PRD.md - Goals 2; Features: Policy</t>
  </si>
  <si>
    <t xml:space="preserve">Edge-to-cloud sync with explicit conflict cards</t>
  </si>
  <si>
    <t xml:space="preserve">docs/PRD.md - Goals 3; Features: Sync</t>
  </si>
  <si>
    <t xml:space="preserve">Federation across device processes</t>
  </si>
  <si>
    <t xml:space="preserve">docs/PRD.md - Goals 4</t>
  </si>
  <si>
    <t xml:space="preserve">Portable snapshot handoff</t>
  </si>
  <si>
    <t xml:space="preserve">docs/PRD.md - Goals 5</t>
  </si>
  <si>
    <t xml:space="preserve">Optional cloud LLM: SOP distill, auto-tag</t>
  </si>
  <si>
    <t xml:space="preserve">docs/PRD.md - Goals 6</t>
  </si>
  <si>
    <t xml:space="preserve">Fleet Overview and fleet-learning hero</t>
  </si>
  <si>
    <t xml:space="preserve">docs/PRD.md - Features: Overview</t>
  </si>
  <si>
    <t xml:space="preserve">Live SSE fleet metrics and export</t>
  </si>
  <si>
    <t xml:space="preserve">docs/PRD.md - Features: Metrics</t>
  </si>
  <si>
    <t xml:space="preserve">Append-only activity log, search, export</t>
  </si>
  <si>
    <t xml:space="preserve">docs/PRD.md - Features: Activity</t>
  </si>
  <si>
    <t xml:space="preserve">Cloud collections browser (search / delete)</t>
  </si>
  <si>
    <t xml:space="preserve">docs/PRD.md - Features: Cloud</t>
  </si>
  <si>
    <t xml:space="preserve">D. Add-ons and expansion (candidates inferred from documented features; none is a decided price)</t>
  </si>
  <si>
    <t xml:space="preserve">Item</t>
  </si>
  <si>
    <t xml:space="preserve">Basis in docs</t>
  </si>
  <si>
    <t xml:space="preserve">Price</t>
  </si>
  <si>
    <t xml:space="preserve">Cloud LLM synthesis (SOP distill, auto-tag) as an add-on</t>
  </si>
  <si>
    <t xml:space="preserve">docs/PRD.md Goals 6: optional, never required</t>
  </si>
  <si>
    <t xml:space="preserve">Candidate - not decided</t>
  </si>
  <si>
    <t xml:space="preserve">Requires the customer's own LLM endpoint today (README); who pays for LLM usage is undecided.</t>
  </si>
  <si>
    <t xml:space="preserve">Expansion: more devices / more sites per customer</t>
  </si>
  <si>
    <t xml:space="preserve">docs/PRD.md Goals 4 (federation across devices)</t>
  </si>
  <si>
    <t xml:space="preserve">Also feeds Revenue Model input M05 (unit growth).</t>
  </si>
  <si>
    <t xml:space="preserve">Discounts (volume, annual prepay, pilots)</t>
  </si>
  <si>
    <t xml:space="preserve">E. Market price benchmarks (competitors' prices, not ours; verified 2026-09-29)</t>
  </si>
  <si>
    <t xml:space="preserve">Vendor / plan</t>
  </si>
  <si>
    <t xml:space="preserve">Model</t>
  </si>
  <si>
    <t xml:space="preserve">Included</t>
  </si>
  <si>
    <t xml:space="preserve">Unit</t>
  </si>
  <si>
    <t xml:space="preserve">Evidence</t>
  </si>
  <si>
    <t xml:space="preserve">Turso Free</t>
  </si>
  <si>
    <t xml:space="preserve">Tiered usage</t>
  </si>
  <si>
    <t xml:space="preserve">5 GB storage, 500M reads, 10M writes, 3 GB syncs</t>
  </si>
  <si>
    <t xml:space="preserve">USD/month</t>
  </si>
  <si>
    <t xml:space="preserve">Primary pricing page</t>
  </si>
  <si>
    <t xml:space="preserve">https://turso.tech/pricing</t>
  </si>
  <si>
    <t xml:space="preserve">Turso Developer</t>
  </si>
  <si>
    <t xml:space="preserve">9 GB, 2.5B reads, 25M writes, 10 GB syncs</t>
  </si>
  <si>
    <t xml:space="preserve">Turso Scaler</t>
  </si>
  <si>
    <t xml:space="preserve">24 GB, 100B reads, 100M writes, 24 GB syncs</t>
  </si>
  <si>
    <t xml:space="preserve">Turso Pro</t>
  </si>
  <si>
    <t xml:space="preserve">50 GB, 250B reads, 250M writes, 100 GB syncs</t>
  </si>
  <si>
    <t xml:space="preserve">Qdrant Cloud Free</t>
  </si>
  <si>
    <t xml:space="preserve">Free cluster</t>
  </si>
  <si>
    <t xml:space="preserve">0.5 vCPU / 1 GB RAM / 4 GB disk</t>
  </si>
  <si>
    <t xml:space="preserve">https://qdrant.tech/pricing/</t>
  </si>
  <si>
    <t xml:space="preserve">ObjectBox Sync</t>
  </si>
  <si>
    <t xml:space="preserve">Paid subscription over free core</t>
  </si>
  <si>
    <t xml:space="preserve">Not published</t>
  </si>
  <si>
    <t xml:space="preserve">Primary page</t>
  </si>
  <si>
    <t xml:space="preserve">https://objectbox.io/sync/</t>
  </si>
  <si>
    <t xml:space="preserve">Actian VectorAI DB</t>
  </si>
  <si>
    <t xml:space="preserve">Free Community + trial + Enterprise</t>
  </si>
  <si>
    <t xml:space="preserve">Commercial price not published</t>
  </si>
  <si>
    <t xml:space="preserve">Press coverage</t>
  </si>
  <si>
    <t xml:space="preserve">see docs/competitive-landscape/landscape.csv (C10)</t>
  </si>
  <si>
    <t xml:space="preserve">F. Consistency checks (formulas)</t>
  </si>
  <si>
    <t xml:space="preserve">Check</t>
  </si>
  <si>
    <t xml:space="preserve">Result</t>
  </si>
  <si>
    <t xml:space="preserve">Pricing metric chosen?</t>
  </si>
  <si>
    <t xml:space="preserve">Revenue Model units depend on it.</t>
  </si>
  <si>
    <t xml:space="preserve">Tiers with a usable monthly price</t>
  </si>
  <si>
    <t xml:space="preserve">A tier needs price + billing frequency.</t>
  </si>
  <si>
    <t xml:space="preserve">Feature cells still TBD</t>
  </si>
  <si>
    <t xml:space="preserve">Tier packaging is undecided until this is 0.</t>
  </si>
  <si>
    <t xml:space="preserve">Hosted delivery vs PRD non-goal</t>
  </si>
  <si>
    <t xml:space="preserve">Open Items OI-C1.</t>
  </si>
  <si>
    <t xml:space="preserve">Revenue Model</t>
  </si>
  <si>
    <t xml:space="preserve">Computes only when Assumptions &amp; Sources inputs are complete; until then every line shows TBD. Nothing here is a forecast of record.</t>
  </si>
  <si>
    <t xml:space="preserve">Model status</t>
  </si>
  <si>
    <t xml:space="preserve">Method: churn applies to opening customers; new customers start paying in the month acquired; revenue = MRR (annual-billed cash timing not modelled).</t>
  </si>
  <si>
    <t xml:space="preserve">Pricing metric / unit</t>
  </si>
  <si>
    <t xml:space="preserve">Currency</t>
  </si>
  <si>
    <t xml:space="preserve">Inputs (linked, green; edit on Assumptions &amp; Sources)</t>
  </si>
  <si>
    <t xml:space="preserve">Opening paying customers</t>
  </si>
  <si>
    <t xml:space="preserve">New paying customers per month</t>
  </si>
  <si>
    <t xml:space="preserve">Monthly logo churn</t>
  </si>
  <si>
    <t xml:space="preserve">Billable units per customer, month 1</t>
  </si>
  <si>
    <t xml:space="preserve">Monthly growth in units per retained customer</t>
  </si>
  <si>
    <t xml:space="preserve">Tier A share</t>
  </si>
  <si>
    <t xml:space="preserve">Tier B share</t>
  </si>
  <si>
    <t xml:space="preserve">Tier C share</t>
  </si>
  <si>
    <t xml:space="preserve">Tier A monthly-equivalent price</t>
  </si>
  <si>
    <t xml:space="preserve">Tier B monthly-equivalent price</t>
  </si>
  <si>
    <t xml:space="preserve">Tier C monthly-equivalent price</t>
  </si>
  <si>
    <t xml:space="preserve">Monthly projection (24 months)</t>
  </si>
  <si>
    <t xml:space="preserve">Line item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</si>
  <si>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</si>
  <si>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</si>
  <si>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</si>
  <si>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</si>
  <si>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</si>
  <si>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</si>
  <si>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</si>
  <si>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</si>
  <si>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</si>
  <si>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</si>
  <si>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</si>
  <si>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</si>
  <si>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</si>
  <si>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</si>
  <si>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</si>
  <si>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</si>
  <si>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</si>
  <si>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</si>
  <si>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</si>
  <si>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</si>
  <si>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</si>
  <si>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</si>
  <si>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</si>
  <si>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</si>
  <si>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Opening customers</t>
  </si>
  <si>
    <t xml:space="preserve">customers</t>
  </si>
  <si>
    <t xml:space="preserve">New customers</t>
  </si>
  <si>
    <t xml:space="preserve">Churned customers</t>
  </si>
  <si>
    <t xml:space="preserve">Closing customers</t>
  </si>
  <si>
    <t xml:space="preserve">Billable units per customer</t>
  </si>
  <si>
    <t xml:space="preserve">units</t>
  </si>
  <si>
    <t xml:space="preserve">Total billable units</t>
  </si>
  <si>
    <t xml:space="preserve">Tier A units</t>
  </si>
  <si>
    <t xml:space="preserve">Tier B units</t>
  </si>
  <si>
    <t xml:space="preserve">Tier C units</t>
  </si>
  <si>
    <t xml:space="preserve">Tier A MRR</t>
  </si>
  <si>
    <t xml:space="preserve">currency/month</t>
  </si>
  <si>
    <t xml:space="preserve">Tier B MRR</t>
  </si>
  <si>
    <t xml:space="preserve">Tier C MRR</t>
  </si>
  <si>
    <t xml:space="preserve">Total MRR</t>
  </si>
  <si>
    <t xml:space="preserve">Annualised run-rate (MRR x 12)</t>
  </si>
  <si>
    <t xml:space="preserve">currency/year</t>
  </si>
  <si>
    <t xml:space="preserve">ARPU (MRR per closing customer)</t>
  </si>
  <si>
    <t xml:space="preserve">Cumulative revenue</t>
  </si>
  <si>
    <t xml:space="preserve">currency</t>
  </si>
  <si>
    <t xml:space="preserve">Summary (outputs)</t>
  </si>
  <si>
    <t xml:space="preserve">Metric</t>
  </si>
  <si>
    <t xml:space="preserve">Year 1 revenue (M1-M12)</t>
  </si>
  <si>
    <t xml:space="preserve">Year 2 revenue (M13-M24)</t>
  </si>
  <si>
    <t xml:space="preserve">Month-12 annualised run-rate</t>
  </si>
  <si>
    <t xml:space="preserve">Closing customers, month 24</t>
  </si>
  <si>
    <t xml:space="preserve">Annual logo retention implied by churn input</t>
  </si>
  <si>
    <t xml:space="preserve">Annual net revenue retention implied (churn x unit growth)</t>
  </si>
  <si>
    <t xml:space="preserve">Blended monthly price per unit, month 24</t>
  </si>
  <si>
    <t xml:space="preserve">Not modelled because the docs contain no basis: CAC, sales cycle, gross margin, discounts, price changes over time.</t>
  </si>
  <si>
    <t xml:space="preserve">Competitive Positioning</t>
  </si>
  <si>
    <t xml:space="preserve">Source: docs/competitive-landscape/landscape.csv (researched 2026-09-29). Capability cells: Y stated, N stated absent, ? not stated in sources reviewed (not the same as no).</t>
  </si>
  <si>
    <t xml:space="preserve">Competitor</t>
  </si>
  <si>
    <t xml:space="preserve">Relationship</t>
  </si>
  <si>
    <t xml:space="preserve">Pricing (model; detail)</t>
  </si>
  <si>
    <t xml:space="preserve">Maturity / limits</t>
  </si>
  <si>
    <t xml:space="preserve">On-device vector</t>
  </si>
  <si>
    <t xml:space="preserve">Hybrid search</t>
  </si>
  <si>
    <t xml:space="preserve">Sync to server</t>
  </si>
  <si>
    <t xml:space="preserve">Selective sync</t>
  </si>
  <si>
    <t xml:space="preserve">Conflict handling</t>
  </si>
  <si>
    <t xml:space="preserve">Ops console</t>
  </si>
  <si>
    <t xml:space="preserve">Where they are stronger (vs EDGE.MEM)</t>
  </si>
  <si>
    <t xml:space="preserve">Our differentiation</t>
  </si>
  <si>
    <t xml:space="preserve">Confidence</t>
  </si>
  <si>
    <t xml:space="preserve">Last verified</t>
  </si>
  <si>
    <t xml:space="preserve">Source URLs</t>
  </si>
  <si>
    <t xml:space="preserve">C01</t>
  </si>
  <si>
    <t xml:space="preserve">Qdrant Edge</t>
  </si>
  <si>
    <t xml:space="preserve">Platform / substitute-in-waiting</t>
  </si>
  <si>
    <t xml:space="preserve">Robots, kiosks, industrial PCs, drones, mobile, wearables</t>
  </si>
  <si>
    <t xml:space="preserve">Not stated</t>
  </si>
  <si>
    <t xml:space="preserve">Beta (docs: 'API may change'; edge page: 'Apply to Join the Beta'); ? (not stated on pages reviewed)</t>
  </si>
  <si>
    <t xml:space="preserve">Y</t>
  </si>
  <si>
    <t xml:space="preserve">?</t>
  </si>
  <si>
    <t xml:space="preserve">EDGE.MEM is built on this engine; Qdrant can ship any of these layers itself (platform risk)</t>
  </si>
  <si>
    <t xml:space="preserve">EDGE.MEM adds what the engine does not advertise: policy-driven residency floor, conflict cards, fleet console, LLM workflows</t>
  </si>
  <si>
    <t xml:space="preserve">primary-page</t>
  </si>
  <si>
    <t xml:space="preserve">High</t>
  </si>
  <si>
    <t xml:space="preserve">2026-09-29</t>
  </si>
  <si>
    <t xml:space="preserve">https://qdrant.tech/documentation/edge/
https://qdrant.tech/edge/
https://qdrant.tech/blog/qdrant-edge/</t>
  </si>
  <si>
    <t xml:space="preserve">C02</t>
  </si>
  <si>
    <t xml:space="preserve">Couchbase Lite + Sync Gateway / Capella App Services</t>
  </si>
  <si>
    <t xml:space="preserve">Direct (assembled stack)</t>
  </si>
  <si>
    <t xml:space="preserve">Mobile, IoT and edge apps needing offline-first sync</t>
  </si>
  <si>
    <t xml:space="preserve">Capella: consumption (per node-hour); Lite EE: per licensed device (agreement language); Per-hour figures seen only on third-party aggregators; not verified</t>
  </si>
  <si>
    <t xml:space="preserve">Vector search documented; GA/beta not stated on page reviewed; Vector search marked Enterprise</t>
  </si>
  <si>
    <t xml:space="preserve">Mature sync protocol, enterprise vendor, support, multi-platform SDKs; EDGE.MEM is Python-engine + web console only</t>
  </si>
  <si>
    <t xml:space="preserve">Open engine choice; residency policy is a first-class, auditable rule set (to confirm vs Couchbase channels)</t>
  </si>
  <si>
    <t xml:space="preserve">primary-page (docs) + search-summary (sync, pricing)</t>
  </si>
  <si>
    <t xml:space="preserve">Medium</t>
  </si>
  <si>
    <t xml:space="preserve">https://docs.couchbase.com/couchbase-lite/current/android/vector-search.html
https://www.couchbase.com/blog/vector-search-at-the-edge-with-couchbase-mobile/
https://www.couchbase.com/products/sync-gateway/
https://www.couchbase.com/pricing/</t>
  </si>
  <si>
    <t xml:space="preserve">C03</t>
  </si>
  <si>
    <t xml:space="preserve">ObjectBox (vector DB + Sync)</t>
  </si>
  <si>
    <t xml:space="preserve">Mobile, IoT, embedded devices</t>
  </si>
  <si>
    <t xml:space="preserve">Free core; Sync = paid subscription; Not published (contact sales)</t>
  </si>
  <si>
    <t xml:space="preserve">Vector search released early 2024 (vendor claim); Core Apache-2.0; Sync commercial</t>
  </si>
  <si>
    <t xml:space="preserve">Native mobile/embedded SDKs (Java, Swift, Dart, C++, Go); small-footprint C++ core; proven sync product</t>
  </si>
  <si>
    <t xml:space="preserve">Hybrid dense+BM25 on device (verified in code); residency policy</t>
  </si>
  <si>
    <t xml:space="preserve">High (features) / n.a. (pricing unpublished)</t>
  </si>
  <si>
    <t xml:space="preserve">https://objectbox.io/vector-database/
https://objectbox.io/sync/</t>
  </si>
  <si>
    <t xml:space="preserve">C04</t>
  </si>
  <si>
    <t xml:space="preserve">Turso (libSQL embedded replicas + vector)</t>
  </si>
  <si>
    <t xml:space="preserve">App developers; per-tenant / per-agent databases</t>
  </si>
  <si>
    <t xml:space="preserve">Tiered usage: Free / Developer / Scaler / Pro / Enterprise; Free $0; Developer $4.99/mo; Scaler $24.92/mo; Pro $416.58/mo; Enterprise custom (Turso pricing page)</t>
  </si>
  <si>
    <t xml:space="preserve">Embedded replicas GA; offline writes beta; ?</t>
  </si>
  <si>
    <t xml:space="preserve">Far cheaper entry point and general SQL; writes offline still beta so gap may close</t>
  </si>
  <si>
    <t xml:space="preserve">Purpose-built for knowledge retrieval (hybrid, filters, score breakdown) and residency policy</t>
  </si>
  <si>
    <t xml:space="preserve">https://turso.tech/pricing
https://turso.tech/local-first</t>
  </si>
  <si>
    <t xml:space="preserve">C05</t>
  </si>
  <si>
    <t xml:space="preserve">MongoDB Atlas Device Sync / Realm</t>
  </si>
  <si>
    <t xml:space="preserve">Displaced incumbent (retired)</t>
  </si>
  <si>
    <t xml:space="preserve">Mobile / edge apps that used Realm Sync</t>
  </si>
  <si>
    <t xml:space="preserve">n.a.</t>
  </si>
  <si>
    <t xml:space="preserve">Discontinued; Realm remains open-source without sync; Realm OSS</t>
  </si>
  <si>
    <t xml:space="preserve">Ended:</t>
  </si>
  <si>
    <t xml:space="preserve">EDGE.MEM is not a drop-in Realm replacement (no mobile SDKs)</t>
  </si>
  <si>
    <t xml:space="preserve">Teams orphaned by the shutdown need a new sync story (segment opportunity, unquantified)</t>
  </si>
  <si>
    <t xml:space="preserve">secondary (search summary of MongoDB forum posts; primary pages returned 403/404)</t>
  </si>
  <si>
    <t xml:space="preserve">https://www.mongodb.com/community/forums/t/atlas-device-sync-end-of-life-and-deprecation/296687
https://objectbox.io/alternative-to-mongodb-sync/</t>
  </si>
  <si>
    <t xml:space="preserve">C06</t>
  </si>
  <si>
    <t xml:space="preserve">LanceDB</t>
  </si>
  <si>
    <t xml:space="preserve">Substitute (DIY)</t>
  </si>
  <si>
    <t xml:space="preserve">AI/ML developers; multimodal datasets</t>
  </si>
  <si>
    <t xml:space="preserve">OSS free; Cloud usage-based; Enterprise custom; Not verified on primary page (pricing URL returned a contact page)</t>
  </si>
  <si>
    <t xml:space="preserve">OSS + Cloud (public beta per one source) + Enterprise; Apache-2.0 (OSS)</t>
  </si>
  <si>
    <t xml:space="preserve">N</t>
  </si>
  <si>
    <t xml:space="preserve">Strong multimodal/columnar story; larger dev community</t>
  </si>
  <si>
    <t xml:space="preserve">Built-in edge-to-server sync, conflicts and residency policy</t>
  </si>
  <si>
    <t xml:space="preserve">vendor-comparison (Actian, a competitor) + search-summary</t>
  </si>
  <si>
    <t xml:space="preserve">Low-Medium</t>
  </si>
  <si>
    <t xml:space="preserve">https://www.actian.com/blog/developer/comparing-embedded-vector-databases/
https://github.com/lancedb/lancedb
https://www.lancedb.com/</t>
  </si>
  <si>
    <t xml:space="preserve">C07</t>
  </si>
  <si>
    <t xml:space="preserve">Chroma</t>
  </si>
  <si>
    <t xml:space="preserve">Prototype / RAG developers</t>
  </si>
  <si>
    <t xml:space="preserve">?; OSS (open-source per Actian)</t>
  </si>
  <si>
    <t xml:space="preserve">Ubiquity and zero-setup for prototypes</t>
  </si>
  <si>
    <t xml:space="preserve">Hybrid, sync, policy, conflicts</t>
  </si>
  <si>
    <t xml:space="preserve">vendor-comparison (Actian)</t>
  </si>
  <si>
    <t xml:space="preserve">Low</t>
  </si>
  <si>
    <t xml:space="preserve">https://www.actian.com/blog/developer/comparing-embedded-vector-databases/</t>
  </si>
  <si>
    <t xml:space="preserve">C08</t>
  </si>
  <si>
    <t xml:space="preserve">Milvus Lite</t>
  </si>
  <si>
    <t xml:space="preserve">Python developers prototyping for Milvus</t>
  </si>
  <si>
    <t xml:space="preserve">OSS</t>
  </si>
  <si>
    <t xml:space="preserve">Documented for small-scale use; ? (not on page)</t>
  </si>
  <si>
    <t xml:space="preserve">Manual</t>
  </si>
  <si>
    <t xml:space="preserve">Same ecosystem as Milvus/Zilliz Cloud; Linux and macOS only</t>
  </si>
  <si>
    <t xml:space="preserve">Continuous two-way sync with conflicts vs one-shot migration</t>
  </si>
  <si>
    <t xml:space="preserve">https://milvus.io/docs/milvus_lite.md</t>
  </si>
  <si>
    <t xml:space="preserve">C09</t>
  </si>
  <si>
    <t xml:space="preserve">sqlite-vec</t>
  </si>
  <si>
    <t xml:space="preserve">Developers already on SQLite (incl. Raspberry Pi, WASM)</t>
  </si>
  <si>
    <t xml:space="preserve">Pre-v1 ('expect breaking changes'); Apache-2.0 / MIT</t>
  </si>
  <si>
    <t xml:space="preserve">Tiny footprint, portability, zero infrastructure; pairs with Turso/others for sync</t>
  </si>
  <si>
    <t xml:space="preserve">Turnkey hybrid search, sync, policy</t>
  </si>
  <si>
    <t xml:space="preserve">https://github.com/asg017/sqlite-vec</t>
  </si>
  <si>
    <t xml:space="preserve">C10</t>
  </si>
  <si>
    <t xml:space="preserve">Direct (new entrant)</t>
  </si>
  <si>
    <t xml:space="preserve">Regulated, disconnected and edge deployments (manufacturing, government)</t>
  </si>
  <si>
    <t xml:space="preserve">Free Community Edition, 30-day trial; Enterprise; Commercial pricing not published</t>
  </si>
  <si>
    <t xml:space="preserve">Launched 2026-04-28 (press coverage); Commercial; Community Edition free</t>
  </si>
  <si>
    <t xml:space="preserve">Enterprise vendor, compliance claims (SOC 2 Type II, HIPAA, GDPR, ISO 27001 — vendor claims), AES-256; EDGE.MEM has none of these certifications</t>
  </si>
  <si>
    <t xml:space="preserve">Two-way sync with conflict resolution, residency policy, console (Actian says it has no sync dependency)</t>
  </si>
  <si>
    <t xml:space="preserve">vendor-claim + press coverage</t>
  </si>
  <si>
    <t xml:space="preserve">https://www.actian.com/blog/product-launches/introducing-actian-vectorai-db-ai-where-your-data-lives/
https://www.actian.com/company/press-releases/actian-launches-vectorai-db-with-22x-faster-vector-search-for-production-ai-anywhere-including-the-edge/</t>
  </si>
  <si>
    <t xml:space="preserve">C11</t>
  </si>
  <si>
    <t xml:space="preserve">Aquant</t>
  </si>
  <si>
    <t xml:space="preserve">Indirect (solves the same user problem)</t>
  </si>
  <si>
    <t xml:space="preserve">Field technicians, service teams, call centers (industrial equipment, medical devices, energy, etc.)</t>
  </si>
  <si>
    <t xml:space="preserve">Production; customer case (Makino) cited; SaaS</t>
  </si>
  <si>
    <t xml:space="preserve">Finished product: conversational troubleshooting, voice, analytics, parts agents, customer references</t>
  </si>
  <si>
    <t xml:space="preserve">Works with no connectivity; restricted notes never leave the device</t>
  </si>
  <si>
    <t xml:space="preserve">primary-page (outcome numbers are vendor claims)</t>
  </si>
  <si>
    <t xml:space="preserve">High (capabilities)</t>
  </si>
  <si>
    <t xml:space="preserve">https://www.aquant.ai/solutions/field-technicians</t>
  </si>
  <si>
    <t xml:space="preserve">C12</t>
  </si>
  <si>
    <t xml:space="preserve">PTC ServiceMax AI</t>
  </si>
  <si>
    <t xml:space="preserve">Indirect</t>
  </si>
  <si>
    <t xml:space="preserve">Field service organisations</t>
  </si>
  <si>
    <t xml:space="preserve">Production; SaaS</t>
  </si>
  <si>
    <t xml:space="preserve">Enterprise field-service suite and PTC distribution</t>
  </si>
  <si>
    <t xml:space="preserve">Offline-first and data residency (if ServiceMax lacks it — unverified)</t>
  </si>
  <si>
    <t xml:space="preserve">search-summary</t>
  </si>
  <si>
    <t xml:space="preserve">https://www.ptc.com/en/products/servicemax/ai-service</t>
  </si>
  <si>
    <t xml:space="preserve">C13</t>
  </si>
  <si>
    <t xml:space="preserve">Siemens Industrial Copilot</t>
  </si>
  <si>
    <t xml:space="preserve">Industrial engineering and operations (TIA Portal etc.)</t>
  </si>
  <si>
    <t xml:space="preserve">Engineering Copilot introduced July 2024; Commercial</t>
  </si>
  <si>
    <t xml:space="preserve">Siemens installed base and distribution</t>
  </si>
  <si>
    <t xml:space="preserve">Purpose-built offline memory</t>
  </si>
  <si>
    <t xml:space="preserve">search-summary + third-party review</t>
  </si>
  <si>
    <t xml:space="preserve">https://www.siemens.com/en-us/company/insights/generative-ai-industrial-copilot/
https://industrialmonitordirect.com/blogs/knowledgebase/siemens-engineering-copilot-tia-portal-practical-review</t>
  </si>
  <si>
    <t xml:space="preserve">C14</t>
  </si>
  <si>
    <t xml:space="preserve">Dozuki</t>
  </si>
  <si>
    <t xml:space="preserve">Manufacturing and field operations</t>
  </si>
  <si>
    <t xml:space="preserve">Structured, controlled SOP authoring and training</t>
  </si>
  <si>
    <t xml:space="preserve">Semantic retrieval over free-form incident notes</t>
  </si>
  <si>
    <t xml:space="preserve">https://www.dozuki.com/creatorpro-ai</t>
  </si>
  <si>
    <t xml:space="preserve">C15</t>
  </si>
  <si>
    <t xml:space="preserve">Augmentir</t>
  </si>
  <si>
    <t xml:space="preserve">Frontline maintenance, quality, safety, assembly</t>
  </si>
  <si>
    <t xml:space="preserve">Skills management, workflows, collaboration</t>
  </si>
  <si>
    <t xml:space="preserve">Offline semantic memory</t>
  </si>
  <si>
    <t xml:space="preserve">secondary (comparison site)</t>
  </si>
  <si>
    <t xml:space="preserve">https://sourceforge.net/software/compare/Augmentir-vs-Dozuki/</t>
  </si>
  <si>
    <t xml:space="preserve">E00</t>
  </si>
  <si>
    <t xml:space="preserve">EDGE.MEM (this project)</t>
  </si>
  <si>
    <t xml:space="preserve">Self</t>
  </si>
  <si>
    <t xml:space="preserve">Industrial field technicians, reliability engineers, site admins (docs/PRD.md)</t>
  </si>
  <si>
    <t xml:space="preserve">Hackathon-stage: no license file, no auth/RBAC, single-threaded engine, depends on Qdrant Edge beta; NONE declared in repo</t>
  </si>
  <si>
    <t xml:space="preserve">See docs/COMPETITIVE-LANDSCAPE.md §5</t>
  </si>
  <si>
    <t xml:space="preserve">repo-verified (unit tests; full e2e audit not re-run in this pass)</t>
  </si>
  <si>
    <t xml:space="preserve">docs/PRD.md
mini-services/edge-engine/src/engine.py
mini-services/edge-engine/tests/</t>
  </si>
  <si>
    <t xml:space="preserve">Summary counts (formulas over the table above; EDGE.MEM's own row E00 excluded)</t>
  </si>
  <si>
    <t xml:space="preserve">Count</t>
  </si>
  <si>
    <t xml:space="preserve">Competitors tracked</t>
  </si>
  <si>
    <t xml:space="preserve">Direct competitors</t>
  </si>
  <si>
    <t xml:space="preserve">Indirect competitors</t>
  </si>
  <si>
    <t xml:space="preserve">Rows at Low / Low-Medium confidence</t>
  </si>
  <si>
    <t xml:space="preserve">Competitors with a stated sync-to-server capability (Y)</t>
  </si>
  <si>
    <t xml:space="preserve">Competitors with stated conflict handling (Y)</t>
  </si>
  <si>
    <t xml:space="preserve">Inputs in blue-on-yellow are the ONLY cells to edit. Blank = not documented. Type: Documented / Calculated / Assumption / TBD.</t>
  </si>
  <si>
    <t xml:space="preserve">A. Model inputs (feed the Revenue Model). Leave blank until decided; the model shows TBD until every input is filled.</t>
  </si>
  <si>
    <t xml:space="preserve">Input</t>
  </si>
  <si>
    <t xml:space="preserve">Source document</t>
  </si>
  <si>
    <t xml:space="preserve">Source section</t>
  </si>
  <si>
    <t xml:space="preserve">Status / confidence</t>
  </si>
  <si>
    <t xml:space="preserve">A01</t>
  </si>
  <si>
    <t xml:space="preserve">Reporting currency</t>
  </si>
  <si>
    <t xml:space="preserve">USD</t>
  </si>
  <si>
    <t xml:space="preserve">text</t>
  </si>
  <si>
    <t xml:space="preserve">Assumption</t>
  </si>
  <si>
    <t xml:space="preserve">n/a (not documented)</t>
  </si>
  <si>
    <t xml:space="preserve">Assumption - confirm</t>
  </si>
  <si>
    <t xml:space="preserve">No currency appears in docs/. USD used because every sourced benchmark is USD (Turso, Qdrant Cloud). Change if wrong.</t>
  </si>
  <si>
    <t xml:space="preserve">M01</t>
  </si>
  <si>
    <t xml:space="preserve">TBD - requires confirmation</t>
  </si>
  <si>
    <t xml:space="preserve">Customer counts are not in any doc. Enter 0 for a launch-from-zero case.</t>
  </si>
  <si>
    <t xml:space="preserve">M02</t>
  </si>
  <si>
    <t xml:space="preserve">customers/month</t>
  </si>
  <si>
    <t xml:space="preserve">No acquisition rate, CAC or funnel data exists in docs/.</t>
  </si>
  <si>
    <t xml:space="preserve">M03</t>
  </si>
  <si>
    <t xml:space="preserve">% of opening customers</t>
  </si>
  <si>
    <t xml:space="preserve">No retention or churn data in docs/. Enter as a percentage, e.g. 2.0%.</t>
  </si>
  <si>
    <t xml:space="preserve">M04</t>
  </si>
  <si>
    <t xml:space="preserve">units/customer</t>
  </si>
  <si>
    <t xml:space="preserve">The unit is whatever the Pricing sheet's pricing metric becomes (device, synced GB, fleet...). Undecided.</t>
  </si>
  <si>
    <t xml:space="preserve">M05</t>
  </si>
  <si>
    <t xml:space="preserve">Monthly growth in billable units per retained customer</t>
  </si>
  <si>
    <t xml:space="preserve">% per month</t>
  </si>
  <si>
    <t xml:space="preserve">Expansion driver. No expansion data in docs/.</t>
  </si>
  <si>
    <t xml:space="preserve">M06</t>
  </si>
  <si>
    <t xml:space="preserve">Tier A share of billable units</t>
  </si>
  <si>
    <t xml:space="preserve">% (A+B+C = 100%)</t>
  </si>
  <si>
    <t xml:space="preserve">Tiers are not defined in docs/; see Pricing sheet.</t>
  </si>
  <si>
    <t xml:space="preserve">M07</t>
  </si>
  <si>
    <t xml:space="preserve">Tier B share of billable units</t>
  </si>
  <si>
    <t xml:space="preserve">M08</t>
  </si>
  <si>
    <t xml:space="preserve">Tier C share of billable units</t>
  </si>
  <si>
    <t xml:space="preserve">Enter 0% if only two tiers are used.</t>
  </si>
  <si>
    <t xml:space="preserve">Revenue model inputs complete?</t>
  </si>
  <si>
    <t xml:space="preserve">flag</t>
  </si>
  <si>
    <t xml:space="preserve">Calculated</t>
  </si>
  <si>
    <t xml:space="preserve">this sheet + Pricing</t>
  </si>
  <si>
    <t xml:space="preserve">Complete only when the pricing metric is chosen, M01-M05 are numbers, tier shares sum to 100%, and every tier with a share &gt; 0 has a price on the Pricing sheet.</t>
  </si>
  <si>
    <t xml:space="preserve">Tier shares total</t>
  </si>
  <si>
    <t xml:space="preserve">%</t>
  </si>
  <si>
    <t xml:space="preserve">this sheet</t>
  </si>
  <si>
    <t xml:space="preserve">Must equal 100% before the model computes.</t>
  </si>
  <si>
    <t xml:space="preserve">count</t>
  </si>
  <si>
    <t xml:space="preserve">B. Register: documented facts, benchmarks and values the docs leave open</t>
  </si>
  <si>
    <t xml:space="preserve">D01</t>
  </si>
  <si>
    <t xml:space="preserve">Product name</t>
  </si>
  <si>
    <t xml:space="preserve">EDGE.MEM</t>
  </si>
  <si>
    <t xml:space="preserve">Documented</t>
  </si>
  <si>
    <t xml:space="preserve">docs/PRD.md</t>
  </si>
  <si>
    <t xml:space="preserve">Title</t>
  </si>
  <si>
    <t xml:space="preserve">D02</t>
  </si>
  <si>
    <t xml:space="preserve">Problem solved</t>
  </si>
  <si>
    <t xml:space="preserve">Field technicians at industrial sites need past incidents, manuals and sensor context while offline; some notes must never leave the device.</t>
  </si>
  <si>
    <t xml:space="preserve">Problem</t>
  </si>
  <si>
    <t xml:space="preserve">Cloud-only knowledge bases 'fail exactly when connectivity is worst'.</t>
  </si>
  <si>
    <t xml:space="preserve">D03</t>
  </si>
  <si>
    <t xml:space="preserve">User roles</t>
  </si>
  <si>
    <t xml:space="preserve">Field technician; Reliability engineer; Site admin</t>
  </si>
  <si>
    <t xml:space="preserve">Users</t>
  </si>
  <si>
    <t xml:space="preserve">Roles are described as users. Which role buys is not documented.</t>
  </si>
  <si>
    <t xml:space="preserve">D04</t>
  </si>
  <si>
    <t xml:space="preserve">Non-goal: multi-tenant SaaS, user accounts, per-user RBAC</t>
  </si>
  <si>
    <t xml:space="preserve">Non-goal</t>
  </si>
  <si>
    <t xml:space="preserve">Non-goals</t>
  </si>
  <si>
    <t xml:space="preserve">Constrains any hosted or per-user pricing. See Open Items OI-C1.</t>
  </si>
  <si>
    <t xml:space="preserve">D05</t>
  </si>
  <si>
    <t xml:space="preserve">Non-goal: untrusted networks without EDGE_TOKEN + firewall</t>
  </si>
  <si>
    <t xml:space="preserve">D06</t>
  </si>
  <si>
    <t xml:space="preserve">Shipped console tabs</t>
  </si>
  <si>
    <t xml:space="preserve">tabs</t>
  </si>
  <si>
    <t xml:space="preserve">Features (shipped)</t>
  </si>
  <si>
    <t xml:space="preserve">Overview, Memory, Search, Sync, Metrics, Activity, Cloud, Policy.</t>
  </si>
  <si>
    <t xml:space="preserve">D07</t>
  </si>
  <si>
    <t xml:space="preserve">Auth / role separation for policy + cloud delete (S9)</t>
  </si>
  <si>
    <t xml:space="preserve">status</t>
  </si>
  <si>
    <t xml:space="preserve">Security requirements S9</t>
  </si>
  <si>
    <t xml:space="preserve">Blocks any multi-user or multi-site commercial deployment.</t>
  </si>
  <si>
    <t xml:space="preserve">D08</t>
  </si>
  <si>
    <t xml:space="preserve">Snapshot provenance spoofing (S10)</t>
  </si>
  <si>
    <t xml:space="preserve">Open (accepted)</t>
  </si>
  <si>
    <t xml:space="preserve">Security requirements S10</t>
  </si>
  <si>
    <t xml:space="preserve">D09</t>
  </si>
  <si>
    <t xml:space="preserve">Autonomous sync when link returns (R7)</t>
  </si>
  <si>
    <t xml:space="preserve">Opt-in, default off</t>
  </si>
  <si>
    <t xml:space="preserve">Resilience R7</t>
  </si>
  <si>
    <t xml:space="preserve">Marked a product decision.</t>
  </si>
  <si>
    <t xml:space="preserve">D10</t>
  </si>
  <si>
    <t xml:space="preserve">Product success metric: offline hybrid search p95</t>
  </si>
  <si>
    <t xml:space="preserve">&lt; 10</t>
  </si>
  <si>
    <t xml:space="preserve">ms</t>
  </si>
  <si>
    <t xml:space="preserve">Success metrics</t>
  </si>
  <si>
    <t xml:space="preserve">Product KPI, not a GTM KPI.</t>
  </si>
  <si>
    <t xml:space="preserve">D11</t>
  </si>
  <si>
    <t xml:space="preserve">Product success metric: restricted points in cloud</t>
  </si>
  <si>
    <t xml:space="preserve">points</t>
  </si>
  <si>
    <t xml:space="preserve">Product KPI.</t>
  </si>
  <si>
    <t xml:space="preserve">D12</t>
  </si>
  <si>
    <t xml:space="preserve">Repository licence</t>
  </si>
  <si>
    <t xml:space="preserve">None declared</t>
  </si>
  <si>
    <t xml:space="preserve">docs/COMPETITIVE-LANDSCAPE.md</t>
  </si>
  <si>
    <t xml:space="preserve">1 (item 5); CSV row E00</t>
  </si>
  <si>
    <t xml:space="preserve">No LICENSE file. Blocks commercial distribution.</t>
  </si>
  <si>
    <t xml:space="preserve">D13</t>
  </si>
  <si>
    <t xml:space="preserve">Vector engine dependency: Qdrant Edge</t>
  </si>
  <si>
    <t xml:space="preserve">Beta; no licence terms found</t>
  </si>
  <si>
    <t xml:space="preserve">1 (item 5); 9 (#3)</t>
  </si>
  <si>
    <t xml:space="preserve">Documented (primary page)</t>
  </si>
  <si>
    <t xml:space="preserve">Redistribution rights unverified.</t>
  </si>
  <si>
    <t xml:space="preserve">B01</t>
  </si>
  <si>
    <t xml:space="preserve">Benchmark: Turso Free plan</t>
  </si>
  <si>
    <t xml:space="preserve">5 Pricing</t>
  </si>
  <si>
    <t xml:space="preserve">Documented (primary page, 2026-09-29)</t>
  </si>
  <si>
    <t xml:space="preserve">5 GB, 500M reads, 10M writes, 3 GB syncs.</t>
  </si>
  <si>
    <t xml:space="preserve">B02</t>
  </si>
  <si>
    <t xml:space="preserve">Benchmark: Turso Developer plan</t>
  </si>
  <si>
    <t xml:space="preserve">A search snippet said $5.99; the pricing page says $4.99.</t>
  </si>
  <si>
    <t xml:space="preserve">B03</t>
  </si>
  <si>
    <t xml:space="preserve">Benchmark: Turso Scaler plan</t>
  </si>
  <si>
    <t xml:space="preserve">B04</t>
  </si>
  <si>
    <t xml:space="preserve">Benchmark: Turso Pro plan</t>
  </si>
  <si>
    <t xml:space="preserve">Enterprise: custom.</t>
  </si>
  <si>
    <t xml:space="preserve">B05</t>
  </si>
  <si>
    <t xml:space="preserve">Benchmark: Qdrant Cloud free tier</t>
  </si>
  <si>
    <t xml:space="preserve">spec</t>
  </si>
  <si>
    <t xml:space="preserve">Standard = usage-based; Premium = minimum spend; no prices listed.</t>
  </si>
  <si>
    <t xml:space="preserve">B06</t>
  </si>
  <si>
    <t xml:space="preserve">Benchmark: ObjectBox Sync price</t>
  </si>
  <si>
    <t xml:space="preserve">Not published (contact sales)</t>
  </si>
  <si>
    <t xml:space="preserve">Core is Apache-2.0; Sync is a paid subscription.</t>
  </si>
  <si>
    <t xml:space="preserve">B07</t>
  </si>
  <si>
    <t xml:space="preserve">Benchmark: Actian VectorAI DB</t>
  </si>
  <si>
    <t xml:space="preserve">Free Community Edition + 30-day trial; commercial price not published</t>
  </si>
  <si>
    <t xml:space="preserve">Vendor / press coverage</t>
  </si>
  <si>
    <t xml:space="preserve">Medium confidence.</t>
  </si>
  <si>
    <t xml:space="preserve">B08</t>
  </si>
  <si>
    <t xml:space="preserve">Market pricing pattern</t>
  </si>
  <si>
    <t xml:space="preserve">Free or open core; money charged for sync, hosting or enterprise features</t>
  </si>
  <si>
    <t xml:space="preserve">5 Pricing (last paragraph)</t>
  </si>
  <si>
    <t xml:space="preserve">Documented (landscape conclusion)</t>
  </si>
  <si>
    <t xml:space="preserve">Metrics seen: rows + synced GB, node-hours, per licensed device.</t>
  </si>
  <si>
    <t xml:space="preserve">B09</t>
  </si>
  <si>
    <t xml:space="preserve">Candidate pricing metrics (undecided)</t>
  </si>
  <si>
    <t xml:space="preserve">Per device; per synced GB; per fleet</t>
  </si>
  <si>
    <t xml:space="preserve">8 Pricing</t>
  </si>
  <si>
    <t xml:space="preserve">Options only - no decision</t>
  </si>
  <si>
    <t xml:space="preserve">The landscape says choosing needs unit economics and buyer input not in the repo.</t>
  </si>
  <si>
    <t xml:space="preserve">T01</t>
  </si>
  <si>
    <t xml:space="preserve">Market size (TAM / SAM / SOM)</t>
  </si>
  <si>
    <t xml:space="preserve">No market size in any doc.</t>
  </si>
  <si>
    <t xml:space="preserve">T02</t>
  </si>
  <si>
    <t xml:space="preserve">Customer acquisition cost (CAC)</t>
  </si>
  <si>
    <t xml:space="preserve">T03</t>
  </si>
  <si>
    <t xml:space="preserve">Sales cycle length</t>
  </si>
  <si>
    <t xml:space="preserve">days</t>
  </si>
  <si>
    <t xml:space="preserve">T04</t>
  </si>
  <si>
    <t xml:space="preserve">Funnel conversion rates</t>
  </si>
  <si>
    <t xml:space="preserve">T05</t>
  </si>
  <si>
    <t xml:space="preserve">Gross margin / cost to serve</t>
  </si>
  <si>
    <t xml:space="preserve">Depends on delivery model (self-hosted vs hosted), also undecided.</t>
  </si>
  <si>
    <t xml:space="preserve">T06</t>
  </si>
  <si>
    <t xml:space="preserve">Geographic strategy</t>
  </si>
  <si>
    <t xml:space="preserve">T07</t>
  </si>
  <si>
    <t xml:space="preserve">Willingness to pay by segment</t>
  </si>
  <si>
    <t xml:space="preserve">LAND</t>
  </si>
  <si>
    <t xml:space="preserve">9 (#9)</t>
  </si>
  <si>
    <t xml:space="preserve">TBD - needs buyer interviews</t>
  </si>
  <si>
    <t xml:space="preserve">The landscape lists this as unresolved.</t>
  </si>
  <si>
    <t xml:space="preserve">Open Items</t>
  </si>
  <si>
    <t xml:space="preserve">Everything the docs do not settle, and every place where documents pull in different directions. Do not fill these with guesses.</t>
  </si>
  <si>
    <t xml:space="preserve">Affects</t>
  </si>
  <si>
    <t xml:space="preserve">Needed from</t>
  </si>
  <si>
    <t xml:space="preserve">OI-C1</t>
  </si>
  <si>
    <t xml:space="preserve">Contradiction</t>
  </si>
  <si>
    <t xml:space="preserve">Non-goal 'multi-tenant SaaS, user accounts, per-user RBAC' vs a commercial pricing model</t>
  </si>
  <si>
    <t xml:space="preserve">Per-user, per-seat and hosted pricing all need what the PRD excludes. S9 (role separation) is also open while PRD Users defines three roles.</t>
  </si>
  <si>
    <t xml:space="preserve">Pricing; Revenue Model</t>
  </si>
  <si>
    <t xml:space="preserve">docs/PRD.md - Non-goals, S9, Users</t>
  </si>
  <si>
    <t xml:space="preserve">Founder decision</t>
  </si>
  <si>
    <t xml:space="preserve">OI-C2</t>
  </si>
  <si>
    <t xml:space="preserve">Priced offering vs no licence</t>
  </si>
  <si>
    <t xml:space="preserve">The landscape says the repo has no licence and Qdrant Edge terms are unread; a price cannot be attached to something that cannot be licensed.</t>
  </si>
  <si>
    <t xml:space="preserve">Pricing; GTM</t>
  </si>
  <si>
    <t xml:space="preserve">docs/COMPETITIVE-LANDSCAPE.md - s.1, s.9</t>
  </si>
  <si>
    <t xml:space="preserve">Founder / legal</t>
  </si>
  <si>
    <t xml:space="preserve">OI-C3</t>
  </si>
  <si>
    <t xml:space="preserve">Tension</t>
  </si>
  <si>
    <t xml:space="preserve">PRD 'Features (shipped)' vs landscape 'hackathon-stage' maturity</t>
  </si>
  <si>
    <t xml:space="preserve">PRD lists features as shipped; the landscape rates maturity low (no auth, no licence, single-threaded engine, beta engine).</t>
  </si>
  <si>
    <t xml:space="preserve">GTM (positioning claims)</t>
  </si>
  <si>
    <t xml:space="preserve">docs/PRD.md; docs/COMPETITIVE-LANDSCAPE.md</t>
  </si>
  <si>
    <t xml:space="preserve">Founder</t>
  </si>
  <si>
    <t xml:space="preserve">OI-C4</t>
  </si>
  <si>
    <t xml:space="preserve">Data quality</t>
  </si>
  <si>
    <t xml:space="preserve">Competitive landscape was written in the same session, not by the team</t>
  </si>
  <si>
    <t xml:space="preserve">docs/COMPETITIVE-LANDSCAPE.md and its CSV are first-pass research; 6 of 15 rows are Low / Low-Medium confidence.</t>
  </si>
  <si>
    <t xml:space="preserve">Re-verify at source</t>
  </si>
  <si>
    <t xml:space="preserve">OI-M1</t>
  </si>
  <si>
    <t xml:space="preserve">Missing</t>
  </si>
  <si>
    <t xml:space="preserve">Pricing metric, tiers, prices, billing terms, discounts</t>
  </si>
  <si>
    <t xml:space="preserve">Nothing in docs/ decides them; only candidate metrics (per device / synced GB / fleet).</t>
  </si>
  <si>
    <t xml:space="preserve">docs/COMPETITIVE-LANDSCAPE.md - s.8</t>
  </si>
  <si>
    <t xml:space="preserve">Founder + buyer input</t>
  </si>
  <si>
    <t xml:space="preserve">OI-M2</t>
  </si>
  <si>
    <t xml:space="preserve">Customer counts, acquisition rate, churn, expansion</t>
  </si>
  <si>
    <t xml:space="preserve">No customer numbers or funnel data exist.</t>
  </si>
  <si>
    <t xml:space="preserve">Founder / pilots</t>
  </si>
  <si>
    <t xml:space="preserve">OI-M3</t>
  </si>
  <si>
    <t xml:space="preserve">Acquisition, sales and distribution channels; sales motion</t>
  </si>
  <si>
    <t xml:space="preserve">No GTM plan in docs/.</t>
  </si>
  <si>
    <t xml:space="preserve">OI-M4</t>
  </si>
  <si>
    <t xml:space="preserve">Buyer persona and decision maker</t>
  </si>
  <si>
    <t xml:space="preserve">PRD names users, not buyers.</t>
  </si>
  <si>
    <t xml:space="preserve">ICP; GTM</t>
  </si>
  <si>
    <t xml:space="preserve">OI-M5</t>
  </si>
  <si>
    <t xml:space="preserve">Market size (TAM/SAM/SOM), geography</t>
  </si>
  <si>
    <t xml:space="preserve">Executive Summary; GTM</t>
  </si>
  <si>
    <t xml:space="preserve">Founder / research</t>
  </si>
  <si>
    <t xml:space="preserve">OI-M6</t>
  </si>
  <si>
    <t xml:space="preserve">CAC, sales cycle, conversion rates, gross margin</t>
  </si>
  <si>
    <t xml:space="preserve">Not documented; the model does not use them.</t>
  </si>
  <si>
    <t xml:space="preserve">OI-M7</t>
  </si>
  <si>
    <t xml:space="preserve">Delivery model: self-hosted vs hosted</t>
  </si>
  <si>
    <t xml:space="preserve">README shows self-hosted; hosted conflicts with a PRD non-goal.</t>
  </si>
  <si>
    <t xml:space="preserve">Pricing; cost to serve</t>
  </si>
  <si>
    <t xml:space="preserve">README (not docs/); docs/PRD.md</t>
  </si>
  <si>
    <t xml:space="preserve">OI-M8</t>
  </si>
  <si>
    <t xml:space="preserve">Segment attractiveness</t>
  </si>
  <si>
    <t xml:space="preserve">No document scores or sizes segments.</t>
  </si>
  <si>
    <t xml:space="preserve">ICP</t>
  </si>
  <si>
    <t xml:space="preserve">Interviews / research</t>
  </si>
  <si>
    <t xml:space="preserve">OI-A1</t>
  </si>
  <si>
    <t xml:space="preserve">Reporting currency = USD</t>
  </si>
  <si>
    <t xml:space="preserve">Chosen because all sourced benchmarks are USD; not documented.</t>
  </si>
  <si>
    <t xml:space="preserve">Assumptions &amp; Sources A01</t>
  </si>
  <si>
    <t xml:space="preserve">Confirm</t>
  </si>
  <si>
    <t xml:space="preserve">OI-A2</t>
  </si>
  <si>
    <t xml:space="preserve">Segments S2 (robots/kiosks) taken from the hackathon statement</t>
  </si>
  <si>
    <t xml:space="preserve">It lives in the chat, not in docs/.</t>
  </si>
  <si>
    <t xml:space="preserve">Add to docs/ or drop</t>
  </si>
  <si>
    <t xml:space="preserve">OI-V1</t>
  </si>
  <si>
    <t xml:space="preserve">Verification</t>
  </si>
  <si>
    <t xml:space="preserve">Engine and UI changes on 2026-09-29 were checked by unit tests only.</t>
  </si>
  <si>
    <t xml:space="preserve">Executive Summary (product KPIs)</t>
  </si>
  <si>
    <t xml:space="preserve">Engineering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</si>
</sst>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\$#,##0.00;&quot;($&quot;#,##0.00\);\-"/>
    <numFmt numFmtId="167" formatCode="#,##0.0"/>
    <numFmt numFmtId="168" formatCode="0.0%"/>
    <numFmt numFmtId="169" formatCode="#,##0.0;\(#,##0.0\);\-"/>
    <numFmt numFmtId="170" formatCode="0.0%;\(0.0%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CBD5E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i val="true"/>
      <sz val="10"/>
      <color rgb="FF64748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1F2937"/>
      </patternFill>
    </fill>
    <fill>
      <patternFill patternType="solid">
        <fgColor rgb="FF1E293B"/>
        <bgColor rgb="FF1F2937"/>
      </patternFill>
    </fill>
    <fill>
      <patternFill patternType="solid">
        <fgColor rgb="FF10B981"/>
        <bgColor rgb="FF33CCCC"/>
      </patternFill>
    </fill>
    <fill>
      <patternFill patternType="solid">
        <fgColor rgb="FFF8FAFC"/>
        <bgColor rgb="FFFFFFFF"/>
      </patternFill>
    </fill>
    <fill>
      <patternFill patternType="solid">
        <fgColor rgb="FFF1F5F9"/>
        <bgColor rgb="FFF3F4F6"/>
      </patternFill>
    </fill>
    <fill>
      <patternFill patternType="solid">
        <fgColor rgb="FF1F2937"/>
        <bgColor rgb="FF1E293B"/>
      </patternFill>
    </fill>
    <fill>
      <patternFill patternType="solid">
        <fgColor rgb="FFE5E7EB"/>
        <bgColor rgb="FFE2E8F0"/>
      </patternFill>
    </fill>
    <fill>
      <patternFill patternType="solid">
        <fgColor rgb="FFFFFF00"/>
        <bgColor rgb="FFFFFF00"/>
      </patternFill>
    </fill>
    <fill>
      <patternFill patternType="solid">
        <fgColor rgb="FFECFDF5"/>
        <bgColor rgb="FFF1F5F9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0B981"/>
      </bottom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 style="thick">
        <color rgb="FF10B981"/>
      </left>
      <right/>
      <top/>
      <bottom style="thin">
        <color rgb="FFE2E8F0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/>
      <right/>
      <top style="thin">
        <color rgb="FF94A3B8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6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7" fillId="5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7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6" fontId="11" fillId="9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6" fontId="8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4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7" fontId="14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8" fontId="14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8" fontId="14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6" fontId="14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6" fontId="14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9" fontId="8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9" fontId="8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10" borderId="5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6" fillId="10" borderId="5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9" fontId="7" fillId="10" borderId="5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8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10" borderId="5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9" fontId="7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70" fontId="7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70" fontId="7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6" fontId="7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8" fontId="11" fillId="9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FDE68A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>
          <bgColor rgb="FFF3F4F6"/>
        </patternFill>
      </fill>
    </dxf>
  </dxf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D1D5DB"/>
      <rgbColor rgb="FF808080"/>
      <rgbColor rgb="FF9999FF"/>
      <rgbColor rgb="FFBE123C"/>
      <rgbColor rgb="FFF8FAFC"/>
      <rgbColor rgb="FFECFD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DE68A"/>
      <rgbColor rgb="FFE2E8F0"/>
      <rgbColor rgb="FFF3F4F6"/>
      <rgbColor rgb="FFE5E7EB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1E293B"/>
      <rgbColor rgb="FF10B981"/>
      <rgbColor rgb="FF0F172A"/>
      <rgbColor rgb="FF333300"/>
      <rgbColor rgb="FF993300"/>
      <rgbColor rgb="FF993366"/>
      <rgbColor rgb="FF47556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8"/>
    <col collapsed="false" customWidth="true" hidden="false" outlineLevel="0" max="3" min="3" style="1" width="34"/>
  </cols>
  <sheetData>
    <row r="1" customFormat="false" ht="36" hidden="false" customHeight="true" outlineLevel="0" collapsed="false">
      <c r="A1" s="2" t="s">
        <v>0</v>
      </c>
      <c r="B1" s="3"/>
      <c r="C1" s="3"/>
    </row>
    <row r="2" customFormat="false" ht="24.75" hidden="false" customHeight="true" outlineLevel="0" collapsed="false">
      <c r="A2" s="4" t="s">
        <v>1</v>
      </c>
      <c r="B2" s="4"/>
      <c r="C2" s="4"/>
    </row>
    <row r="3" customFormat="false" ht="3.75" hidden="false" customHeight="true" outlineLevel="0" collapsed="false">
      <c r="A3" s="5"/>
      <c r="B3" s="5"/>
      <c r="C3" s="5"/>
    </row>
    <row r="4" customFormat="false" ht="27.75" hidden="false" customHeight="true" outlineLevel="0" collapsed="false">
      <c r="A4" s="6" t="s">
        <v>2</v>
      </c>
      <c r="B4" s="6" t="s">
        <v>3</v>
      </c>
      <c r="C4" s="6" t="s">
        <v>4</v>
      </c>
    </row>
    <row r="5" customFormat="false" ht="58.5" hidden="false" customHeight="true" outlineLevel="0" collapsed="false">
      <c r="A5" s="7" t="s">
        <v>5</v>
      </c>
      <c r="B5" s="8" t="s">
        <v>6</v>
      </c>
      <c r="C5" s="8" t="s">
        <v>7</v>
      </c>
    </row>
    <row r="6" customFormat="false" ht="33" hidden="false" customHeight="true" outlineLevel="0" collapsed="false">
      <c r="A6" s="9" t="s">
        <v>8</v>
      </c>
      <c r="B6" s="10" t="s">
        <v>9</v>
      </c>
      <c r="C6" s="10" t="s">
        <v>10</v>
      </c>
    </row>
    <row r="7" customFormat="false" ht="33" hidden="false" customHeight="true" outlineLevel="0" collapsed="false">
      <c r="A7" s="7" t="s">
        <v>11</v>
      </c>
      <c r="B7" s="8" t="s">
        <v>12</v>
      </c>
      <c r="C7" s="8" t="s">
        <v>13</v>
      </c>
    </row>
    <row r="8" customFormat="false" ht="33" hidden="false" customHeight="true" outlineLevel="0" collapsed="false">
      <c r="A8" s="9" t="s">
        <v>14</v>
      </c>
      <c r="B8" s="10" t="s">
        <v>15</v>
      </c>
      <c r="C8" s="10" t="s">
        <v>16</v>
      </c>
    </row>
    <row r="9" customFormat="false" ht="45.75" hidden="false" customHeight="true" outlineLevel="0" collapsed="false">
      <c r="A9" s="7" t="s">
        <v>17</v>
      </c>
      <c r="B9" s="8" t="s">
        <v>18</v>
      </c>
      <c r="C9" s="8" t="s">
        <v>19</v>
      </c>
    </row>
    <row r="10" customFormat="false" ht="20.25" hidden="false" customHeight="true" outlineLevel="0" collapsed="false">
      <c r="A10" s="9" t="s">
        <v>20</v>
      </c>
      <c r="B10" s="10" t="s">
        <v>21</v>
      </c>
      <c r="C10" s="10" t="s">
        <v>22</v>
      </c>
    </row>
    <row r="11" customFormat="false" ht="33" hidden="false" customHeight="true" outlineLevel="0" collapsed="false">
      <c r="A11" s="7" t="s">
        <v>23</v>
      </c>
      <c r="B11" s="8" t="s">
        <v>24</v>
      </c>
      <c r="C11" s="8" t="s">
        <v>25</v>
      </c>
    </row>
    <row r="12" customFormat="false" ht="20.25" hidden="false" customHeight="true" outlineLevel="0" collapsed="false">
      <c r="A12" s="9" t="s">
        <v>26</v>
      </c>
      <c r="B12" s="10" t="s">
        <v>27</v>
      </c>
      <c r="C12" s="10" t="s">
        <v>28</v>
      </c>
    </row>
    <row r="14" customFormat="false" ht="24" hidden="false" customHeight="true" outlineLevel="0" collapsed="false">
      <c r="A14" s="11" t="s">
        <v>29</v>
      </c>
      <c r="B14" s="12"/>
      <c r="C14" s="12"/>
    </row>
    <row r="15" customFormat="false" ht="27.75" hidden="false" customHeight="true" outlineLevel="0" collapsed="false">
      <c r="A15" s="6" t="s">
        <v>30</v>
      </c>
      <c r="B15" s="6" t="s">
        <v>31</v>
      </c>
      <c r="C15" s="6" t="s">
        <v>32</v>
      </c>
    </row>
    <row r="16" customFormat="false" ht="33" hidden="false" customHeight="true" outlineLevel="0" collapsed="false">
      <c r="A16" s="8" t="s">
        <v>33</v>
      </c>
      <c r="B16" s="13" t="str">
        <f aca="false">'Revenue Model'!$B$4</f>
        <v>INCOMPLETE</v>
      </c>
      <c r="C16" s="8" t="s">
        <v>34</v>
      </c>
    </row>
    <row r="17" customFormat="false" ht="20.25" hidden="false" customHeight="true" outlineLevel="0" collapsed="false">
      <c r="A17" s="10" t="s">
        <v>35</v>
      </c>
      <c r="B17" s="14" t="n">
        <f aca="false">'Assumptions &amp; Sources'!$C$17</f>
        <v>8</v>
      </c>
      <c r="C17" s="10" t="s">
        <v>36</v>
      </c>
    </row>
    <row r="18" customFormat="false" ht="20.25" hidden="false" customHeight="true" outlineLevel="0" collapsed="false">
      <c r="A18" s="8" t="s">
        <v>37</v>
      </c>
      <c r="B18" s="15" t="n">
        <f aca="false">COUNTIF('Assumptions &amp; Sources'!$E$6:$E$49,"Documented")</f>
        <v>22</v>
      </c>
      <c r="C18" s="8" t="s">
        <v>38</v>
      </c>
    </row>
    <row r="19" customFormat="false" ht="20.25" hidden="false" customHeight="true" outlineLevel="0" collapsed="false">
      <c r="A19" s="10" t="s">
        <v>39</v>
      </c>
      <c r="B19" s="14" t="n">
        <f aca="false">COUNTIF('Assumptions &amp; Sources'!$E$6:$E$49,"Calculated")</f>
        <v>3</v>
      </c>
      <c r="C19" s="10" t="s">
        <v>40</v>
      </c>
    </row>
    <row r="20" customFormat="false" ht="33" hidden="false" customHeight="true" outlineLevel="0" collapsed="false">
      <c r="A20" s="8" t="s">
        <v>41</v>
      </c>
      <c r="B20" s="15" t="n">
        <f aca="false">COUNTIF('Assumptions &amp; Sources'!$E$6:$E$49,"Assumption")</f>
        <v>1</v>
      </c>
      <c r="C20" s="8" t="s">
        <v>42</v>
      </c>
    </row>
    <row r="21" customFormat="false" ht="20.25" hidden="false" customHeight="true" outlineLevel="0" collapsed="false">
      <c r="A21" s="10" t="s">
        <v>43</v>
      </c>
      <c r="B21" s="14" t="n">
        <f aca="false">COUNTIF('Assumptions &amp; Sources'!$E$6:$E$49,"TBD")</f>
        <v>15</v>
      </c>
      <c r="C21" s="10" t="s">
        <v>44</v>
      </c>
    </row>
    <row r="22" customFormat="false" ht="20.25" hidden="false" customHeight="true" outlineLevel="0" collapsed="false">
      <c r="A22" s="8" t="s">
        <v>45</v>
      </c>
      <c r="B22" s="15" t="n">
        <f aca="false">COUNTIF('GTM Strategy'!$A$4:$L$40,"TBD")</f>
        <v>53</v>
      </c>
      <c r="C22" s="8" t="s">
        <v>46</v>
      </c>
    </row>
    <row r="23" customFormat="false" ht="20.25" hidden="false" customHeight="true" outlineLevel="0" collapsed="false">
      <c r="A23" s="10" t="s">
        <v>47</v>
      </c>
      <c r="B23" s="14" t="str">
        <f aca="false">COUNT(Pricing!$F$12:$F$14)&amp;" of 3"</f>
        <v>0 of 3</v>
      </c>
      <c r="C23" s="10" t="s">
        <v>48</v>
      </c>
    </row>
    <row r="24" customFormat="false" ht="20.25" hidden="false" customHeight="true" outlineLevel="0" collapsed="false">
      <c r="A24" s="8" t="s">
        <v>49</v>
      </c>
      <c r="B24" s="15" t="n">
        <f aca="false">COUNTIF('Open Items'!$B$5:$B$19,"Contradiction")</f>
        <v>2</v>
      </c>
      <c r="C24" s="8" t="s">
        <v>50</v>
      </c>
    </row>
    <row r="25" customFormat="false" ht="20.25" hidden="false" customHeight="true" outlineLevel="0" collapsed="false">
      <c r="A25" s="10" t="s">
        <v>51</v>
      </c>
      <c r="B25" s="14" t="n">
        <f aca="false">COUNTA('Open Items'!$A$5:$A$19)</f>
        <v>15</v>
      </c>
      <c r="C25" s="10" t="s">
        <v>50</v>
      </c>
    </row>
    <row r="26" customFormat="false" ht="20.25" hidden="false" customHeight="true" outlineLevel="0" collapsed="false">
      <c r="A26" s="8" t="s">
        <v>52</v>
      </c>
      <c r="B26" s="13" t="str">
        <f aca="false">'Revenue Model'!$B$42</f>
        <v>TBD</v>
      </c>
      <c r="C26" s="8" t="s">
        <v>53</v>
      </c>
    </row>
    <row r="27" customFormat="false" ht="20.25" hidden="false" customHeight="true" outlineLevel="0" collapsed="false">
      <c r="A27" s="10" t="s">
        <v>54</v>
      </c>
      <c r="B27" s="16" t="str">
        <f aca="false">'Revenue Model'!$B$45</f>
        <v>TBD</v>
      </c>
      <c r="C27" s="10" t="s">
        <v>53</v>
      </c>
    </row>
  </sheetData>
  <mergeCells count="1">
    <mergeCell ref="A2:C2"/>
  </mergeCells>
  <conditionalFormatting sqref="B16:B27">
    <cfRule type="cellIs" priority="2" operator="equal" aboveAverage="0" equalAverage="0" bottom="0" percent="0" rank="0" text="" dxfId="0">
      <formula>"TBD"</formula>
    </cfRule>
  </conditionalFormatting>
  <conditionalFormatting sqref="B16">
    <cfRule type="cellIs" priority="3" operator="equal" aboveAverage="0" equalAverage="0" bottom="0" percent="0" rank="0" text="" dxfId="1">
      <formula>"INCOMPLETE"</formula>
    </cfRule>
    <cfRule type="cellIs" priority="4" operator="equal" aboveAverage="0" equalAverage="0" bottom="0" percent="0" rank="0" text="" dxfId="2">
      <formula>"Complete"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&amp;L&amp;8 &amp;K64748bEDGE.MEM · GTM Pricing&amp;C&amp;8 &amp;K64748b&amp;A&amp;R&amp;8 &amp;K64748bPage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5" min="4" style="1" width="40"/>
    <col collapsed="false" customWidth="true" hidden="false" outlineLevel="0" max="7" min="6" style="1" width="36"/>
    <col collapsed="false" customWidth="true" hidden="false" outlineLevel="0" max="9" min="8" style="1" width="26"/>
    <col collapsed="false" customWidth="true" hidden="false" outlineLevel="0" max="10" min="10" style="1" width="16"/>
    <col collapsed="false" customWidth="true" hidden="false" outlineLevel="0" max="11" min="11" style="1" width="26"/>
    <col collapsed="false" customWidth="true" hidden="false" outlineLevel="0" max="12" min="12" style="1" width="30"/>
  </cols>
  <sheetData>
    <row r="1" customFormat="false" ht="36" hidden="false" customHeight="true" outlineLevel="0" collapsed="false">
      <c r="A1" s="2" t="s">
        <v>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24.75" hidden="false" customHeight="true" outlineLevel="0" collapsed="false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37.5" hidden="false" customHeight="true" outlineLevel="0" collapsed="false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  <c r="K4" s="6" t="s">
        <v>67</v>
      </c>
      <c r="L4" s="6" t="s">
        <v>4</v>
      </c>
    </row>
    <row r="5" customFormat="false" ht="211.5" hidden="false" customHeight="true" outlineLevel="0" collapsed="false">
      <c r="A5" s="8" t="s">
        <v>68</v>
      </c>
      <c r="B5" s="8" t="s">
        <v>69</v>
      </c>
      <c r="C5" s="8" t="s">
        <v>70</v>
      </c>
      <c r="D5" s="8" t="s">
        <v>71</v>
      </c>
      <c r="E5" s="8" t="s">
        <v>72</v>
      </c>
      <c r="F5" s="8" t="s">
        <v>73</v>
      </c>
      <c r="G5" s="8" t="s">
        <v>74</v>
      </c>
      <c r="H5" s="8" t="s">
        <v>75</v>
      </c>
      <c r="I5" s="8" t="s">
        <v>75</v>
      </c>
      <c r="J5" s="8" t="s">
        <v>75</v>
      </c>
      <c r="K5" s="8" t="s">
        <v>76</v>
      </c>
      <c r="L5" s="8" t="s">
        <v>77</v>
      </c>
    </row>
    <row r="6" customFormat="false" ht="96.75" hidden="false" customHeight="true" outlineLevel="0" collapsed="false">
      <c r="A6" s="10" t="s">
        <v>78</v>
      </c>
      <c r="B6" s="10" t="s">
        <v>79</v>
      </c>
      <c r="C6" s="10" t="s">
        <v>80</v>
      </c>
      <c r="D6" s="10" t="s">
        <v>81</v>
      </c>
      <c r="E6" s="10" t="s">
        <v>82</v>
      </c>
      <c r="F6" s="10" t="s">
        <v>83</v>
      </c>
      <c r="G6" s="10" t="s">
        <v>75</v>
      </c>
      <c r="H6" s="10" t="s">
        <v>75</v>
      </c>
      <c r="I6" s="10" t="s">
        <v>75</v>
      </c>
      <c r="J6" s="10" t="s">
        <v>75</v>
      </c>
      <c r="K6" s="10" t="s">
        <v>84</v>
      </c>
      <c r="L6" s="10" t="s">
        <v>85</v>
      </c>
    </row>
    <row r="7" customFormat="false" ht="45.75" hidden="false" customHeight="true" outlineLevel="0" collapsed="false">
      <c r="A7" s="8" t="s">
        <v>86</v>
      </c>
      <c r="B7" s="8" t="s">
        <v>87</v>
      </c>
      <c r="C7" s="8" t="s">
        <v>88</v>
      </c>
      <c r="D7" s="8" t="s">
        <v>89</v>
      </c>
      <c r="E7" s="8" t="s">
        <v>90</v>
      </c>
      <c r="F7" s="8" t="s">
        <v>91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92</v>
      </c>
      <c r="L7" s="8" t="s">
        <v>93</v>
      </c>
    </row>
    <row r="8" customFormat="false" ht="45.75" hidden="false" customHeight="true" outlineLevel="0" collapsed="false">
      <c r="A8" s="10" t="s">
        <v>94</v>
      </c>
      <c r="B8" s="10" t="s">
        <v>95</v>
      </c>
      <c r="C8" s="10" t="s">
        <v>96</v>
      </c>
      <c r="D8" s="10" t="s">
        <v>97</v>
      </c>
      <c r="E8" s="10" t="s">
        <v>98</v>
      </c>
      <c r="F8" s="10" t="s">
        <v>99</v>
      </c>
      <c r="G8" s="10" t="s">
        <v>75</v>
      </c>
      <c r="H8" s="10" t="s">
        <v>100</v>
      </c>
      <c r="I8" s="10" t="s">
        <v>75</v>
      </c>
      <c r="J8" s="10" t="s">
        <v>75</v>
      </c>
      <c r="K8" s="10" t="s">
        <v>101</v>
      </c>
      <c r="L8" s="10" t="s">
        <v>102</v>
      </c>
    </row>
    <row r="9" customFormat="false" ht="45.75" hidden="false" customHeight="true" outlineLevel="0" collapsed="false">
      <c r="A9" s="8" t="s">
        <v>103</v>
      </c>
      <c r="B9" s="8" t="s">
        <v>104</v>
      </c>
      <c r="C9" s="8" t="s">
        <v>105</v>
      </c>
      <c r="D9" s="8" t="s">
        <v>106</v>
      </c>
      <c r="E9" s="8" t="s">
        <v>90</v>
      </c>
      <c r="F9" s="8" t="s">
        <v>107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92</v>
      </c>
      <c r="L9" s="8" t="s">
        <v>108</v>
      </c>
    </row>
    <row r="11" customFormat="false" ht="24" hidden="false" customHeight="true" outlineLevel="0" collapsed="false">
      <c r="A11" s="11" t="s">
        <v>109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customFormat="false" ht="27.75" hidden="false" customHeight="true" outlineLevel="0" collapsed="false">
      <c r="A12" s="6" t="s">
        <v>57</v>
      </c>
      <c r="B12" s="6" t="s">
        <v>110</v>
      </c>
      <c r="C12" s="6" t="s">
        <v>111</v>
      </c>
      <c r="D12" s="6" t="s">
        <v>112</v>
      </c>
      <c r="E12" s="17"/>
      <c r="F12" s="17"/>
      <c r="G12" s="17"/>
      <c r="H12" s="17"/>
      <c r="I12" s="6" t="s">
        <v>113</v>
      </c>
      <c r="J12" s="17"/>
      <c r="K12" s="6" t="s">
        <v>67</v>
      </c>
      <c r="L12" s="6" t="s">
        <v>4</v>
      </c>
    </row>
    <row r="13" customFormat="false" ht="33" hidden="false" customHeight="true" outlineLevel="0" collapsed="false">
      <c r="A13" s="8" t="s">
        <v>114</v>
      </c>
      <c r="B13" s="8" t="s">
        <v>115</v>
      </c>
      <c r="C13" s="8" t="s">
        <v>116</v>
      </c>
      <c r="D13" s="8" t="s">
        <v>117</v>
      </c>
      <c r="E13" s="8"/>
      <c r="F13" s="8"/>
      <c r="G13" s="8"/>
      <c r="H13" s="8"/>
      <c r="I13" s="8" t="s">
        <v>75</v>
      </c>
      <c r="J13" s="8"/>
      <c r="K13" s="8" t="s">
        <v>118</v>
      </c>
      <c r="L13" s="8" t="s">
        <v>119</v>
      </c>
    </row>
    <row r="14" customFormat="false" ht="33" hidden="false" customHeight="true" outlineLevel="0" collapsed="false">
      <c r="A14" s="10" t="s">
        <v>120</v>
      </c>
      <c r="B14" s="10" t="s">
        <v>121</v>
      </c>
      <c r="C14" s="10" t="s">
        <v>116</v>
      </c>
      <c r="D14" s="10" t="s">
        <v>122</v>
      </c>
      <c r="E14" s="10"/>
      <c r="F14" s="10"/>
      <c r="G14" s="10"/>
      <c r="H14" s="10"/>
      <c r="I14" s="10" t="s">
        <v>75</v>
      </c>
      <c r="J14" s="10"/>
      <c r="K14" s="10" t="s">
        <v>118</v>
      </c>
      <c r="L14" s="10" t="s">
        <v>119</v>
      </c>
    </row>
    <row r="15" customFormat="false" ht="33" hidden="false" customHeight="true" outlineLevel="0" collapsed="false">
      <c r="A15" s="8" t="s">
        <v>123</v>
      </c>
      <c r="B15" s="8" t="s">
        <v>124</v>
      </c>
      <c r="C15" s="8" t="s">
        <v>125</v>
      </c>
      <c r="D15" s="8" t="s">
        <v>126</v>
      </c>
      <c r="E15" s="8"/>
      <c r="F15" s="8"/>
      <c r="G15" s="8"/>
      <c r="H15" s="8"/>
      <c r="I15" s="8" t="s">
        <v>75</v>
      </c>
      <c r="J15" s="8"/>
      <c r="K15" s="8" t="s">
        <v>118</v>
      </c>
      <c r="L15" s="8" t="s">
        <v>119</v>
      </c>
    </row>
  </sheetData>
  <autoFilter ref="A4:L9"/>
  <mergeCells count="1">
    <mergeCell ref="A2:L2"/>
  </mergeCells>
  <conditionalFormatting sqref="A5:L9">
    <cfRule type="cellIs" priority="2" operator="equal" aboveAverage="0" equalAverage="0" bottom="0" percent="0" rank="0" text="" dxfId="0">
      <formula>"TBD"</formula>
    </cfRule>
  </conditionalFormatting>
  <conditionalFormatting sqref="K5:K9">
    <cfRule type="expression" priority="3" aboveAverage="0" equalAverage="0" bottom="0" percent="0" rank="0" text="" dxfId="2">
      <formula>LEFT($K5,10)="Documented"</formula>
    </cfRule>
    <cfRule type="expression" priority="4" aboveAverage="0" equalAverage="0" bottom="0" percent="0" rank="0" text="" dxfId="1">
      <formula>LEFT($K5,10)="Hypothesis"</formula>
    </cfRule>
  </conditionalFormatting>
  <conditionalFormatting sqref="I13:I15">
    <cfRule type="cellIs" priority="5" operator="equal" aboveAverage="0" equalAverage="0" bottom="0" percent="0" rank="0" text="" dxfId="0">
      <formula>"TBD"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&amp;K64748bEDGE.MEM · GTM Pricing&amp;C&amp;8 &amp;K64748b&amp;A&amp;R&amp;8 &amp;K64748bPage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5" min="4" style="1" width="20"/>
    <col collapsed="false" customWidth="true" hidden="false" outlineLevel="0" max="6" min="6" style="1" width="30"/>
    <col collapsed="false" customWidth="true" hidden="false" outlineLevel="0" max="8" min="7" style="1" width="20"/>
    <col collapsed="false" customWidth="true" hidden="false" outlineLevel="0" max="9" min="9" style="1" width="26"/>
    <col collapsed="false" customWidth="true" hidden="false" outlineLevel="0" max="10" min="10" style="1" width="20"/>
    <col collapsed="false" customWidth="true" hidden="false" outlineLevel="0" max="11" min="11" style="1" width="16"/>
    <col collapsed="false" customWidth="true" hidden="false" outlineLevel="0" max="12" min="12" style="1" width="26"/>
  </cols>
  <sheetData>
    <row r="1" customFormat="false" ht="36" hidden="false" customHeight="true" outlineLevel="0" collapsed="false">
      <c r="A1" s="2" t="s">
        <v>127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24.75" hidden="false" customHeight="true" outlineLevel="0" collapsed="false">
      <c r="A2" s="4" t="s">
        <v>128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37.5" hidden="false" customHeight="true" outlineLevel="0" collapsed="false">
      <c r="A4" s="6" t="s">
        <v>57</v>
      </c>
      <c r="B4" s="6" t="s">
        <v>129</v>
      </c>
      <c r="C4" s="6" t="s">
        <v>130</v>
      </c>
      <c r="D4" s="6" t="s">
        <v>131</v>
      </c>
      <c r="E4" s="6" t="s">
        <v>132</v>
      </c>
      <c r="F4" s="6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L4" s="6" t="s">
        <v>67</v>
      </c>
    </row>
    <row r="5" customFormat="false" ht="71.25" hidden="false" customHeight="true" outlineLevel="0" collapsed="false">
      <c r="A5" s="8" t="s">
        <v>68</v>
      </c>
      <c r="B5" s="8" t="s">
        <v>139</v>
      </c>
      <c r="C5" s="8" t="s">
        <v>140</v>
      </c>
      <c r="D5" s="8" t="s">
        <v>75</v>
      </c>
      <c r="E5" s="8" t="s">
        <v>75</v>
      </c>
      <c r="F5" s="8" t="s">
        <v>141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142</v>
      </c>
    </row>
    <row r="6" customFormat="false" ht="45.75" hidden="false" customHeight="true" outlineLevel="0" collapsed="false">
      <c r="A6" s="10" t="s">
        <v>78</v>
      </c>
      <c r="B6" s="10" t="s">
        <v>143</v>
      </c>
      <c r="C6" s="10" t="s">
        <v>144</v>
      </c>
      <c r="D6" s="10" t="s">
        <v>75</v>
      </c>
      <c r="E6" s="10" t="s">
        <v>75</v>
      </c>
      <c r="F6" s="10" t="s">
        <v>141</v>
      </c>
      <c r="G6" s="10" t="s">
        <v>75</v>
      </c>
      <c r="H6" s="10" t="s">
        <v>75</v>
      </c>
      <c r="I6" s="10" t="s">
        <v>75</v>
      </c>
      <c r="J6" s="10" t="s">
        <v>75</v>
      </c>
      <c r="K6" s="10" t="s">
        <v>75</v>
      </c>
      <c r="L6" s="10" t="s">
        <v>84</v>
      </c>
    </row>
    <row r="7" customFormat="false" ht="45.75" hidden="false" customHeight="true" outlineLevel="0" collapsed="false">
      <c r="A7" s="8" t="s">
        <v>86</v>
      </c>
      <c r="B7" s="8" t="s">
        <v>87</v>
      </c>
      <c r="C7" s="8" t="s">
        <v>145</v>
      </c>
      <c r="D7" s="8" t="s">
        <v>75</v>
      </c>
      <c r="E7" s="8" t="s">
        <v>75</v>
      </c>
      <c r="F7" s="8" t="s">
        <v>141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75</v>
      </c>
      <c r="L7" s="8" t="s">
        <v>146</v>
      </c>
    </row>
    <row r="8" customFormat="false" ht="45.75" hidden="false" customHeight="true" outlineLevel="0" collapsed="false">
      <c r="A8" s="10" t="s">
        <v>94</v>
      </c>
      <c r="B8" s="10" t="s">
        <v>147</v>
      </c>
      <c r="C8" s="10" t="s">
        <v>148</v>
      </c>
      <c r="D8" s="10" t="s">
        <v>75</v>
      </c>
      <c r="E8" s="10" t="s">
        <v>75</v>
      </c>
      <c r="F8" s="10" t="s">
        <v>141</v>
      </c>
      <c r="G8" s="10" t="s">
        <v>75</v>
      </c>
      <c r="H8" s="10" t="s">
        <v>75</v>
      </c>
      <c r="I8" s="10" t="s">
        <v>75</v>
      </c>
      <c r="J8" s="10" t="s">
        <v>75</v>
      </c>
      <c r="K8" s="10" t="s">
        <v>75</v>
      </c>
      <c r="L8" s="10" t="s">
        <v>146</v>
      </c>
    </row>
    <row r="9" customFormat="false" ht="45.75" hidden="false" customHeight="true" outlineLevel="0" collapsed="false">
      <c r="A9" s="8" t="s">
        <v>103</v>
      </c>
      <c r="B9" s="8" t="s">
        <v>149</v>
      </c>
      <c r="C9" s="8" t="s">
        <v>150</v>
      </c>
      <c r="D9" s="8" t="s">
        <v>75</v>
      </c>
      <c r="E9" s="8" t="s">
        <v>75</v>
      </c>
      <c r="F9" s="8" t="s">
        <v>141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75</v>
      </c>
      <c r="L9" s="8" t="s">
        <v>146</v>
      </c>
    </row>
    <row r="11" customFormat="false" ht="24" hidden="false" customHeight="true" outlineLevel="0" collapsed="false">
      <c r="A11" s="11" t="s">
        <v>151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customFormat="false" ht="27.75" hidden="false" customHeight="true" outlineLevel="0" collapsed="false">
      <c r="A12" s="6" t="s">
        <v>152</v>
      </c>
      <c r="B12" s="6" t="s">
        <v>153</v>
      </c>
      <c r="C12" s="6" t="s">
        <v>154</v>
      </c>
      <c r="D12" s="6" t="s">
        <v>155</v>
      </c>
      <c r="E12" s="6" t="s">
        <v>156</v>
      </c>
      <c r="F12" s="6" t="s">
        <v>157</v>
      </c>
      <c r="G12" s="17"/>
      <c r="H12" s="17"/>
      <c r="I12" s="17"/>
      <c r="J12" s="17"/>
      <c r="K12" s="17"/>
      <c r="L12" s="6" t="s">
        <v>67</v>
      </c>
    </row>
    <row r="13" customFormat="false" ht="20.25" hidden="false" customHeight="true" outlineLevel="0" collapsed="false">
      <c r="A13" s="8" t="n">
        <v>1</v>
      </c>
      <c r="B13" s="8" t="s">
        <v>158</v>
      </c>
      <c r="C13" s="8" t="s">
        <v>159</v>
      </c>
      <c r="D13" s="8" t="s">
        <v>75</v>
      </c>
      <c r="E13" s="8" t="s">
        <v>75</v>
      </c>
      <c r="F13" s="8" t="s">
        <v>75</v>
      </c>
      <c r="G13" s="8"/>
      <c r="H13" s="8"/>
      <c r="I13" s="8"/>
      <c r="J13" s="8"/>
      <c r="K13" s="8"/>
      <c r="L13" s="8" t="s">
        <v>160</v>
      </c>
    </row>
    <row r="14" customFormat="false" ht="33" hidden="false" customHeight="true" outlineLevel="0" collapsed="false">
      <c r="A14" s="10" t="n">
        <v>2</v>
      </c>
      <c r="B14" s="10" t="s">
        <v>161</v>
      </c>
      <c r="C14" s="10" t="s">
        <v>162</v>
      </c>
      <c r="D14" s="10" t="s">
        <v>75</v>
      </c>
      <c r="E14" s="10" t="s">
        <v>75</v>
      </c>
      <c r="F14" s="10" t="s">
        <v>75</v>
      </c>
      <c r="G14" s="10"/>
      <c r="H14" s="10"/>
      <c r="I14" s="10"/>
      <c r="J14" s="10"/>
      <c r="K14" s="10"/>
      <c r="L14" s="10" t="s">
        <v>160</v>
      </c>
    </row>
    <row r="15" customFormat="false" ht="45.75" hidden="false" customHeight="true" outlineLevel="0" collapsed="false">
      <c r="A15" s="8" t="n">
        <v>3</v>
      </c>
      <c r="B15" s="8" t="s">
        <v>163</v>
      </c>
      <c r="C15" s="8" t="s">
        <v>164</v>
      </c>
      <c r="D15" s="8" t="s">
        <v>75</v>
      </c>
      <c r="E15" s="8" t="s">
        <v>75</v>
      </c>
      <c r="F15" s="8" t="s">
        <v>75</v>
      </c>
      <c r="G15" s="8"/>
      <c r="H15" s="8"/>
      <c r="I15" s="8"/>
      <c r="J15" s="8"/>
      <c r="K15" s="8"/>
      <c r="L15" s="8" t="s">
        <v>160</v>
      </c>
    </row>
    <row r="16" customFormat="false" ht="33" hidden="false" customHeight="true" outlineLevel="0" collapsed="false">
      <c r="A16" s="10" t="n">
        <v>4</v>
      </c>
      <c r="B16" s="10" t="s">
        <v>165</v>
      </c>
      <c r="C16" s="10" t="s">
        <v>166</v>
      </c>
      <c r="D16" s="10" t="s">
        <v>75</v>
      </c>
      <c r="E16" s="10" t="s">
        <v>75</v>
      </c>
      <c r="F16" s="10" t="s">
        <v>75</v>
      </c>
      <c r="G16" s="10"/>
      <c r="H16" s="10"/>
      <c r="I16" s="10"/>
      <c r="J16" s="10"/>
      <c r="K16" s="10"/>
      <c r="L16" s="10" t="s">
        <v>160</v>
      </c>
    </row>
    <row r="17" customFormat="false" ht="33" hidden="false" customHeight="true" outlineLevel="0" collapsed="false">
      <c r="A17" s="8" t="n">
        <v>5</v>
      </c>
      <c r="B17" s="8" t="s">
        <v>167</v>
      </c>
      <c r="C17" s="8" t="s">
        <v>168</v>
      </c>
      <c r="D17" s="8" t="s">
        <v>75</v>
      </c>
      <c r="E17" s="8" t="s">
        <v>75</v>
      </c>
      <c r="F17" s="8" t="s">
        <v>75</v>
      </c>
      <c r="G17" s="8"/>
      <c r="H17" s="8"/>
      <c r="I17" s="8"/>
      <c r="J17" s="8"/>
      <c r="K17" s="8"/>
      <c r="L17" s="8" t="s">
        <v>160</v>
      </c>
    </row>
    <row r="18" customFormat="false" ht="33" hidden="false" customHeight="true" outlineLevel="0" collapsed="false">
      <c r="A18" s="10" t="n">
        <v>6</v>
      </c>
      <c r="B18" s="10" t="s">
        <v>169</v>
      </c>
      <c r="C18" s="10" t="s">
        <v>170</v>
      </c>
      <c r="D18" s="10" t="s">
        <v>75</v>
      </c>
      <c r="E18" s="10" t="s">
        <v>75</v>
      </c>
      <c r="F18" s="10" t="s">
        <v>75</v>
      </c>
      <c r="G18" s="10"/>
      <c r="H18" s="10"/>
      <c r="I18" s="10"/>
      <c r="J18" s="10"/>
      <c r="K18" s="10"/>
      <c r="L18" s="10" t="s">
        <v>160</v>
      </c>
    </row>
    <row r="20" customFormat="false" ht="24" hidden="false" customHeight="true" outlineLevel="0" collapsed="false">
      <c r="A20" s="11" t="s">
        <v>171</v>
      </c>
      <c r="B20" s="12"/>
      <c r="C20" s="12"/>
      <c r="D20" s="12"/>
      <c r="E20" s="12"/>
      <c r="F20" s="18"/>
      <c r="G20" s="18"/>
      <c r="H20" s="18"/>
      <c r="I20" s="18"/>
      <c r="J20" s="18"/>
      <c r="K20" s="18"/>
      <c r="L20" s="18"/>
    </row>
    <row r="21" customFormat="false" ht="27.75" hidden="false" customHeight="true" outlineLevel="0" collapsed="false">
      <c r="A21" s="6" t="s">
        <v>152</v>
      </c>
      <c r="B21" s="6" t="s">
        <v>172</v>
      </c>
      <c r="C21" s="6" t="s">
        <v>173</v>
      </c>
      <c r="D21" s="6" t="s">
        <v>67</v>
      </c>
      <c r="E21" s="6" t="s">
        <v>4</v>
      </c>
      <c r="F21" s="19"/>
      <c r="G21" s="19"/>
      <c r="H21" s="19"/>
      <c r="I21" s="19"/>
      <c r="J21" s="19"/>
      <c r="K21" s="19"/>
      <c r="L21" s="19"/>
    </row>
    <row r="22" customFormat="false" ht="58.5" hidden="false" customHeight="true" outlineLevel="0" collapsed="false">
      <c r="A22" s="8" t="n">
        <v>1</v>
      </c>
      <c r="B22" s="8" t="s">
        <v>174</v>
      </c>
      <c r="C22" s="8" t="s">
        <v>175</v>
      </c>
      <c r="D22" s="8" t="s">
        <v>176</v>
      </c>
      <c r="E22" s="8" t="s">
        <v>177</v>
      </c>
      <c r="F22" s="20"/>
      <c r="G22" s="20"/>
      <c r="H22" s="20"/>
      <c r="I22" s="20"/>
      <c r="J22" s="20"/>
      <c r="K22" s="20"/>
      <c r="L22" s="20"/>
    </row>
    <row r="23" customFormat="false" ht="58.5" hidden="false" customHeight="true" outlineLevel="0" collapsed="false">
      <c r="A23" s="10" t="n">
        <v>2</v>
      </c>
      <c r="B23" s="10" t="s">
        <v>178</v>
      </c>
      <c r="C23" s="10" t="s">
        <v>179</v>
      </c>
      <c r="D23" s="10" t="s">
        <v>176</v>
      </c>
      <c r="E23" s="10" t="s">
        <v>180</v>
      </c>
      <c r="F23" s="20"/>
      <c r="G23" s="20"/>
      <c r="H23" s="20"/>
      <c r="I23" s="20"/>
      <c r="J23" s="20"/>
      <c r="K23" s="20"/>
      <c r="L23" s="20"/>
    </row>
    <row r="24" customFormat="false" ht="33" hidden="false" customHeight="true" outlineLevel="0" collapsed="false">
      <c r="A24" s="8" t="n">
        <v>3</v>
      </c>
      <c r="B24" s="8" t="s">
        <v>181</v>
      </c>
      <c r="C24" s="8" t="s">
        <v>182</v>
      </c>
      <c r="D24" s="8" t="s">
        <v>176</v>
      </c>
      <c r="E24" s="8" t="s">
        <v>183</v>
      </c>
      <c r="F24" s="20"/>
      <c r="G24" s="20"/>
      <c r="H24" s="20"/>
      <c r="I24" s="20"/>
      <c r="J24" s="20"/>
      <c r="K24" s="20"/>
      <c r="L24" s="20"/>
    </row>
    <row r="25" customFormat="false" ht="71.25" hidden="false" customHeight="true" outlineLevel="0" collapsed="false">
      <c r="A25" s="10" t="n">
        <v>4</v>
      </c>
      <c r="B25" s="10" t="s">
        <v>184</v>
      </c>
      <c r="C25" s="10" t="s">
        <v>185</v>
      </c>
      <c r="D25" s="10" t="s">
        <v>176</v>
      </c>
      <c r="E25" s="10" t="s">
        <v>186</v>
      </c>
      <c r="F25" s="20"/>
      <c r="G25" s="20"/>
      <c r="H25" s="20"/>
      <c r="I25" s="20"/>
      <c r="J25" s="20"/>
      <c r="K25" s="20"/>
      <c r="L25" s="20"/>
    </row>
    <row r="26" customFormat="false" ht="58.5" hidden="false" customHeight="true" outlineLevel="0" collapsed="false">
      <c r="A26" s="8" t="n">
        <v>5</v>
      </c>
      <c r="B26" s="8" t="s">
        <v>187</v>
      </c>
      <c r="C26" s="8" t="s">
        <v>188</v>
      </c>
      <c r="D26" s="8" t="s">
        <v>189</v>
      </c>
      <c r="E26" s="8" t="s">
        <v>190</v>
      </c>
      <c r="F26" s="20"/>
      <c r="G26" s="20"/>
      <c r="H26" s="20"/>
      <c r="I26" s="20"/>
      <c r="J26" s="20"/>
      <c r="K26" s="20"/>
      <c r="L26" s="20"/>
    </row>
    <row r="27" customFormat="false" ht="58.5" hidden="false" customHeight="true" outlineLevel="0" collapsed="false">
      <c r="A27" s="10" t="n">
        <v>6</v>
      </c>
      <c r="B27" s="10" t="s">
        <v>191</v>
      </c>
      <c r="C27" s="10" t="s">
        <v>192</v>
      </c>
      <c r="D27" s="10" t="s">
        <v>176</v>
      </c>
      <c r="E27" s="10" t="s">
        <v>193</v>
      </c>
      <c r="F27" s="20"/>
      <c r="G27" s="20"/>
      <c r="H27" s="20"/>
      <c r="I27" s="20"/>
      <c r="J27" s="20"/>
      <c r="K27" s="20"/>
      <c r="L27" s="20"/>
    </row>
    <row r="28" customFormat="false" ht="58.5" hidden="false" customHeight="true" outlineLevel="0" collapsed="false">
      <c r="A28" s="8" t="n">
        <v>7</v>
      </c>
      <c r="B28" s="8" t="s">
        <v>194</v>
      </c>
      <c r="C28" s="8" t="s">
        <v>195</v>
      </c>
      <c r="D28" s="8" t="s">
        <v>176</v>
      </c>
      <c r="E28" s="8" t="s">
        <v>196</v>
      </c>
      <c r="F28" s="20"/>
      <c r="G28" s="20"/>
      <c r="H28" s="20"/>
      <c r="I28" s="20"/>
      <c r="J28" s="20"/>
      <c r="K28" s="20"/>
      <c r="L28" s="20"/>
    </row>
  </sheetData>
  <mergeCells count="1">
    <mergeCell ref="A2:L2"/>
  </mergeCells>
  <conditionalFormatting sqref="A5:L9">
    <cfRule type="cellIs" priority="2" operator="equal" aboveAverage="0" equalAverage="0" bottom="0" percent="0" rank="0" text="" dxfId="0">
      <formula>"TBD"</formula>
    </cfRule>
  </conditionalFormatting>
  <conditionalFormatting sqref="A13:L18">
    <cfRule type="cellIs" priority="3" operator="equal" aboveAverage="0" equalAverage="0" bottom="0" percent="0" rank="0" text="" dxfId="0">
      <formula>"TBD"</formula>
    </cfRule>
  </conditionalFormatting>
  <conditionalFormatting sqref="D22:D28">
    <cfRule type="cellIs" priority="4" operator="equal" aboveAverage="0" equalAverage="0" bottom="0" percent="0" rank="0" text="" dxfId="1">
      <formula>"Open"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&amp;K64748bEDGE.MEM · GTM Pricing&amp;C&amp;8 &amp;K64748b&amp;A&amp;R&amp;8 &amp;K64748bPage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5" min="4" style="1" width="16"/>
    <col collapsed="false" customWidth="true" hidden="false" outlineLevel="0" max="6" min="6" style="1" width="18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44"/>
  </cols>
  <sheetData>
    <row r="1" customFormat="false" ht="36" hidden="false" customHeight="true" outlineLevel="0" collapsed="false">
      <c r="A1" s="2" t="s">
        <v>197</v>
      </c>
      <c r="B1" s="3"/>
      <c r="C1" s="3"/>
      <c r="D1" s="3"/>
      <c r="E1" s="3"/>
      <c r="F1" s="3"/>
      <c r="G1" s="3"/>
      <c r="H1" s="3"/>
      <c r="I1" s="3"/>
    </row>
    <row r="2" customFormat="false" ht="24.75" hidden="false" customHeight="true" outlineLevel="0" collapsed="false">
      <c r="A2" s="4" t="s">
        <v>198</v>
      </c>
      <c r="B2" s="4"/>
      <c r="C2" s="4"/>
      <c r="D2" s="4"/>
      <c r="E2" s="4"/>
      <c r="F2" s="4"/>
      <c r="G2" s="4"/>
      <c r="H2" s="4"/>
      <c r="I2" s="4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</row>
    <row r="4" customFormat="false" ht="24" hidden="false" customHeight="true" outlineLevel="0" collapsed="false">
      <c r="A4" s="11" t="s">
        <v>199</v>
      </c>
      <c r="B4" s="12"/>
      <c r="C4" s="12"/>
      <c r="D4" s="12"/>
      <c r="E4" s="12"/>
      <c r="F4" s="12"/>
      <c r="G4" s="12"/>
      <c r="H4" s="12"/>
      <c r="I4" s="12"/>
    </row>
    <row r="5" customFormat="false" ht="27.75" hidden="false" customHeight="true" outlineLevel="0" collapsed="false">
      <c r="A5" s="6" t="s">
        <v>200</v>
      </c>
      <c r="B5" s="6" t="s">
        <v>31</v>
      </c>
      <c r="C5" s="6" t="s">
        <v>201</v>
      </c>
      <c r="D5" s="6" t="s">
        <v>67</v>
      </c>
      <c r="E5" s="17"/>
      <c r="F5" s="17"/>
      <c r="G5" s="17"/>
      <c r="H5" s="17"/>
      <c r="I5" s="6" t="s">
        <v>202</v>
      </c>
    </row>
    <row r="6" customFormat="false" ht="33" hidden="false" customHeight="true" outlineLevel="0" collapsed="false">
      <c r="A6" s="8" t="s">
        <v>203</v>
      </c>
      <c r="B6" s="21"/>
      <c r="C6" s="8" t="s">
        <v>204</v>
      </c>
      <c r="D6" s="8" t="s">
        <v>75</v>
      </c>
      <c r="E6" s="8"/>
      <c r="F6" s="8"/>
      <c r="G6" s="8"/>
      <c r="H6" s="8"/>
      <c r="I6" s="8" t="s">
        <v>205</v>
      </c>
    </row>
    <row r="7" customFormat="false" ht="33" hidden="false" customHeight="true" outlineLevel="0" collapsed="false">
      <c r="A7" s="10" t="s">
        <v>206</v>
      </c>
      <c r="B7" s="21"/>
      <c r="C7" s="10" t="s">
        <v>207</v>
      </c>
      <c r="D7" s="10" t="s">
        <v>75</v>
      </c>
      <c r="E7" s="10"/>
      <c r="F7" s="10"/>
      <c r="G7" s="10"/>
      <c r="H7" s="10"/>
      <c r="I7" s="10" t="s">
        <v>208</v>
      </c>
    </row>
    <row r="8" customFormat="false" ht="33" hidden="false" customHeight="true" outlineLevel="0" collapsed="false">
      <c r="A8" s="8" t="s">
        <v>209</v>
      </c>
      <c r="B8" s="21"/>
      <c r="C8" s="8" t="s">
        <v>207</v>
      </c>
      <c r="D8" s="8" t="s">
        <v>75</v>
      </c>
      <c r="E8" s="8"/>
      <c r="F8" s="8"/>
      <c r="G8" s="8"/>
      <c r="H8" s="8"/>
      <c r="I8" s="8" t="s">
        <v>210</v>
      </c>
    </row>
    <row r="10" customFormat="false" ht="24" hidden="false" customHeight="true" outlineLevel="0" collapsed="false">
      <c r="A10" s="11" t="s">
        <v>211</v>
      </c>
      <c r="B10" s="12"/>
      <c r="C10" s="12"/>
      <c r="D10" s="12"/>
      <c r="E10" s="12"/>
      <c r="F10" s="12"/>
      <c r="G10" s="12"/>
      <c r="H10" s="12"/>
      <c r="I10" s="12"/>
    </row>
    <row r="11" customFormat="false" ht="37.5" hidden="false" customHeight="true" outlineLevel="0" collapsed="false">
      <c r="A11" s="6" t="s">
        <v>212</v>
      </c>
      <c r="B11" s="6" t="s">
        <v>213</v>
      </c>
      <c r="C11" s="6" t="s">
        <v>8</v>
      </c>
      <c r="D11" s="6" t="s">
        <v>214</v>
      </c>
      <c r="E11" s="6" t="s">
        <v>215</v>
      </c>
      <c r="F11" s="6" t="s">
        <v>216</v>
      </c>
      <c r="G11" s="6" t="s">
        <v>217</v>
      </c>
      <c r="H11" s="6" t="s">
        <v>218</v>
      </c>
      <c r="I11" s="6" t="s">
        <v>202</v>
      </c>
    </row>
    <row r="12" customFormat="false" ht="33" hidden="false" customHeight="true" outlineLevel="0" collapsed="false">
      <c r="A12" s="8" t="s">
        <v>219</v>
      </c>
      <c r="B12" s="21"/>
      <c r="C12" s="21"/>
      <c r="D12" s="22"/>
      <c r="E12" s="21"/>
      <c r="F12" s="23" t="str">
        <f aca="false">IF(E12="Monthly",IF(ISNUMBER(D12),D12,"TBD"),IF(E12="Annual",IF(ISNUMBER(D12),D12/12,"TBD"),"TBD"))</f>
        <v>TBD</v>
      </c>
      <c r="G12" s="21"/>
      <c r="H12" s="8" t="s">
        <v>220</v>
      </c>
      <c r="I12" s="8" t="s">
        <v>221</v>
      </c>
    </row>
    <row r="13" customFormat="false" ht="33" hidden="false" customHeight="true" outlineLevel="0" collapsed="false">
      <c r="A13" s="10" t="s">
        <v>222</v>
      </c>
      <c r="B13" s="21"/>
      <c r="C13" s="21"/>
      <c r="D13" s="22"/>
      <c r="E13" s="21"/>
      <c r="F13" s="24" t="str">
        <f aca="false">IF(E13="Monthly",IF(ISNUMBER(D13),D13,"TBD"),IF(E13="Annual",IF(ISNUMBER(D13),D13/12,"TBD"),"TBD"))</f>
        <v>TBD</v>
      </c>
      <c r="G13" s="21"/>
      <c r="H13" s="10" t="s">
        <v>220</v>
      </c>
      <c r="I13" s="10" t="s">
        <v>221</v>
      </c>
    </row>
    <row r="14" customFormat="false" ht="33" hidden="false" customHeight="true" outlineLevel="0" collapsed="false">
      <c r="A14" s="8" t="s">
        <v>223</v>
      </c>
      <c r="B14" s="21"/>
      <c r="C14" s="21"/>
      <c r="D14" s="22"/>
      <c r="E14" s="21"/>
      <c r="F14" s="23" t="str">
        <f aca="false">IF(E14="Monthly",IF(ISNUMBER(D14),D14,"TBD"),IF(E14="Annual",IF(ISNUMBER(D14),D14/12,"TBD"),"TBD"))</f>
        <v>TBD</v>
      </c>
      <c r="G14" s="21"/>
      <c r="H14" s="8" t="s">
        <v>220</v>
      </c>
      <c r="I14" s="8" t="s">
        <v>221</v>
      </c>
    </row>
    <row r="16" customFormat="false" ht="24" hidden="false" customHeight="true" outlineLevel="0" collapsed="false">
      <c r="A16" s="11" t="s">
        <v>224</v>
      </c>
      <c r="B16" s="12"/>
      <c r="C16" s="12"/>
      <c r="D16" s="12"/>
      <c r="E16" s="12"/>
      <c r="F16" s="12"/>
      <c r="G16" s="12"/>
      <c r="H16" s="12"/>
      <c r="I16" s="12"/>
    </row>
    <row r="17" customFormat="false" ht="27.75" hidden="false" customHeight="true" outlineLevel="0" collapsed="false">
      <c r="A17" s="6" t="s">
        <v>225</v>
      </c>
      <c r="B17" s="6" t="s">
        <v>226</v>
      </c>
      <c r="C17" s="17"/>
      <c r="D17" s="6" t="s">
        <v>219</v>
      </c>
      <c r="E17" s="6" t="s">
        <v>222</v>
      </c>
      <c r="F17" s="6" t="s">
        <v>223</v>
      </c>
      <c r="G17" s="17"/>
      <c r="H17" s="17"/>
      <c r="I17" s="6" t="s">
        <v>202</v>
      </c>
    </row>
    <row r="18" customFormat="false" ht="33" hidden="false" customHeight="true" outlineLevel="0" collapsed="false">
      <c r="A18" s="8" t="s">
        <v>227</v>
      </c>
      <c r="B18" s="8" t="s">
        <v>228</v>
      </c>
      <c r="C18" s="8"/>
      <c r="D18" s="8" t="s">
        <v>75</v>
      </c>
      <c r="E18" s="8" t="s">
        <v>75</v>
      </c>
      <c r="F18" s="8" t="s">
        <v>75</v>
      </c>
      <c r="G18" s="8"/>
      <c r="H18" s="8"/>
      <c r="I18" s="8"/>
    </row>
    <row r="19" customFormat="false" ht="33" hidden="false" customHeight="true" outlineLevel="0" collapsed="false">
      <c r="A19" s="10" t="s">
        <v>229</v>
      </c>
      <c r="B19" s="10" t="s">
        <v>230</v>
      </c>
      <c r="C19" s="10"/>
      <c r="D19" s="10" t="s">
        <v>75</v>
      </c>
      <c r="E19" s="10" t="s">
        <v>75</v>
      </c>
      <c r="F19" s="10" t="s">
        <v>75</v>
      </c>
      <c r="G19" s="10"/>
      <c r="H19" s="10"/>
      <c r="I19" s="10"/>
    </row>
    <row r="20" customFormat="false" ht="33" hidden="false" customHeight="true" outlineLevel="0" collapsed="false">
      <c r="A20" s="8" t="s">
        <v>231</v>
      </c>
      <c r="B20" s="8" t="s">
        <v>232</v>
      </c>
      <c r="C20" s="8"/>
      <c r="D20" s="8" t="s">
        <v>75</v>
      </c>
      <c r="E20" s="8" t="s">
        <v>75</v>
      </c>
      <c r="F20" s="8" t="s">
        <v>75</v>
      </c>
      <c r="G20" s="8"/>
      <c r="H20" s="8"/>
      <c r="I20" s="8"/>
    </row>
    <row r="21" customFormat="false" ht="33" hidden="false" customHeight="true" outlineLevel="0" collapsed="false">
      <c r="A21" s="10" t="s">
        <v>233</v>
      </c>
      <c r="B21" s="10" t="s">
        <v>234</v>
      </c>
      <c r="C21" s="10"/>
      <c r="D21" s="10" t="s">
        <v>75</v>
      </c>
      <c r="E21" s="10" t="s">
        <v>75</v>
      </c>
      <c r="F21" s="10" t="s">
        <v>75</v>
      </c>
      <c r="G21" s="10"/>
      <c r="H21" s="10"/>
      <c r="I21" s="10"/>
    </row>
    <row r="22" customFormat="false" ht="33" hidden="false" customHeight="true" outlineLevel="0" collapsed="false">
      <c r="A22" s="8" t="s">
        <v>235</v>
      </c>
      <c r="B22" s="8" t="s">
        <v>236</v>
      </c>
      <c r="C22" s="8"/>
      <c r="D22" s="8" t="s">
        <v>75</v>
      </c>
      <c r="E22" s="8" t="s">
        <v>75</v>
      </c>
      <c r="F22" s="8" t="s">
        <v>75</v>
      </c>
      <c r="G22" s="8"/>
      <c r="H22" s="8"/>
      <c r="I22" s="8"/>
    </row>
    <row r="23" customFormat="false" ht="20.25" hidden="false" customHeight="true" outlineLevel="0" collapsed="false">
      <c r="A23" s="10" t="s">
        <v>237</v>
      </c>
      <c r="B23" s="10" t="s">
        <v>238</v>
      </c>
      <c r="C23" s="10"/>
      <c r="D23" s="10" t="s">
        <v>75</v>
      </c>
      <c r="E23" s="10" t="s">
        <v>75</v>
      </c>
      <c r="F23" s="10" t="s">
        <v>75</v>
      </c>
      <c r="G23" s="10"/>
      <c r="H23" s="10"/>
      <c r="I23" s="10"/>
    </row>
    <row r="24" customFormat="false" ht="33" hidden="false" customHeight="true" outlineLevel="0" collapsed="false">
      <c r="A24" s="8" t="s">
        <v>239</v>
      </c>
      <c r="B24" s="8" t="s">
        <v>240</v>
      </c>
      <c r="C24" s="8"/>
      <c r="D24" s="8" t="s">
        <v>75</v>
      </c>
      <c r="E24" s="8" t="s">
        <v>75</v>
      </c>
      <c r="F24" s="8" t="s">
        <v>75</v>
      </c>
      <c r="G24" s="8"/>
      <c r="H24" s="8"/>
      <c r="I24" s="8"/>
    </row>
    <row r="25" customFormat="false" ht="33" hidden="false" customHeight="true" outlineLevel="0" collapsed="false">
      <c r="A25" s="10" t="s">
        <v>241</v>
      </c>
      <c r="B25" s="10" t="s">
        <v>242</v>
      </c>
      <c r="C25" s="10"/>
      <c r="D25" s="10" t="s">
        <v>75</v>
      </c>
      <c r="E25" s="10" t="s">
        <v>75</v>
      </c>
      <c r="F25" s="10" t="s">
        <v>75</v>
      </c>
      <c r="G25" s="10"/>
      <c r="H25" s="10"/>
      <c r="I25" s="10"/>
    </row>
    <row r="26" customFormat="false" ht="33" hidden="false" customHeight="true" outlineLevel="0" collapsed="false">
      <c r="A26" s="8" t="s">
        <v>243</v>
      </c>
      <c r="B26" s="8" t="s">
        <v>244</v>
      </c>
      <c r="C26" s="8"/>
      <c r="D26" s="8" t="s">
        <v>75</v>
      </c>
      <c r="E26" s="8" t="s">
        <v>75</v>
      </c>
      <c r="F26" s="8" t="s">
        <v>75</v>
      </c>
      <c r="G26" s="8"/>
      <c r="H26" s="8"/>
      <c r="I26" s="8"/>
    </row>
    <row r="27" customFormat="false" ht="33" hidden="false" customHeight="true" outlineLevel="0" collapsed="false">
      <c r="A27" s="10" t="s">
        <v>245</v>
      </c>
      <c r="B27" s="10" t="s">
        <v>246</v>
      </c>
      <c r="C27" s="10"/>
      <c r="D27" s="10" t="s">
        <v>75</v>
      </c>
      <c r="E27" s="10" t="s">
        <v>75</v>
      </c>
      <c r="F27" s="10" t="s">
        <v>75</v>
      </c>
      <c r="G27" s="10"/>
      <c r="H27" s="10"/>
      <c r="I27" s="10"/>
    </row>
    <row r="28" customFormat="false" ht="33" hidden="false" customHeight="true" outlineLevel="0" collapsed="false">
      <c r="A28" s="8" t="s">
        <v>247</v>
      </c>
      <c r="B28" s="8" t="s">
        <v>248</v>
      </c>
      <c r="C28" s="8"/>
      <c r="D28" s="8" t="s">
        <v>75</v>
      </c>
      <c r="E28" s="8" t="s">
        <v>75</v>
      </c>
      <c r="F28" s="8" t="s">
        <v>75</v>
      </c>
      <c r="G28" s="8"/>
      <c r="H28" s="8"/>
      <c r="I28" s="8"/>
    </row>
    <row r="30" customFormat="false" ht="24" hidden="false" customHeight="true" outlineLevel="0" collapsed="false">
      <c r="A30" s="11" t="s">
        <v>249</v>
      </c>
      <c r="B30" s="12"/>
      <c r="C30" s="12"/>
      <c r="D30" s="12"/>
      <c r="E30" s="12"/>
      <c r="F30" s="12"/>
      <c r="G30" s="12"/>
      <c r="H30" s="12"/>
      <c r="I30" s="12"/>
    </row>
    <row r="31" customFormat="false" ht="27.75" hidden="false" customHeight="true" outlineLevel="0" collapsed="false">
      <c r="A31" s="6" t="s">
        <v>250</v>
      </c>
      <c r="B31" s="6" t="s">
        <v>251</v>
      </c>
      <c r="C31" s="17"/>
      <c r="D31" s="6" t="s">
        <v>252</v>
      </c>
      <c r="E31" s="17"/>
      <c r="F31" s="17"/>
      <c r="G31" s="17"/>
      <c r="H31" s="6" t="s">
        <v>67</v>
      </c>
      <c r="I31" s="6" t="s">
        <v>202</v>
      </c>
    </row>
    <row r="32" customFormat="false" ht="45.75" hidden="false" customHeight="true" outlineLevel="0" collapsed="false">
      <c r="A32" s="8" t="s">
        <v>253</v>
      </c>
      <c r="B32" s="8" t="s">
        <v>254</v>
      </c>
      <c r="C32" s="8"/>
      <c r="D32" s="8" t="s">
        <v>75</v>
      </c>
      <c r="E32" s="8"/>
      <c r="F32" s="8"/>
      <c r="G32" s="8"/>
      <c r="H32" s="8" t="s">
        <v>255</v>
      </c>
      <c r="I32" s="8" t="s">
        <v>256</v>
      </c>
    </row>
    <row r="33" customFormat="false" ht="33" hidden="false" customHeight="true" outlineLevel="0" collapsed="false">
      <c r="A33" s="10" t="s">
        <v>257</v>
      </c>
      <c r="B33" s="10" t="s">
        <v>258</v>
      </c>
      <c r="C33" s="10"/>
      <c r="D33" s="10" t="s">
        <v>75</v>
      </c>
      <c r="E33" s="10"/>
      <c r="F33" s="10"/>
      <c r="G33" s="10"/>
      <c r="H33" s="10" t="s">
        <v>255</v>
      </c>
      <c r="I33" s="10" t="s">
        <v>259</v>
      </c>
    </row>
    <row r="34" customFormat="false" ht="33" hidden="false" customHeight="true" outlineLevel="0" collapsed="false">
      <c r="A34" s="8" t="s">
        <v>260</v>
      </c>
      <c r="B34" s="8" t="s">
        <v>207</v>
      </c>
      <c r="C34" s="8"/>
      <c r="D34" s="8" t="s">
        <v>75</v>
      </c>
      <c r="E34" s="8"/>
      <c r="F34" s="8"/>
      <c r="G34" s="8"/>
      <c r="H34" s="8" t="s">
        <v>75</v>
      </c>
      <c r="I34" s="8"/>
    </row>
    <row r="36" customFormat="false" ht="24" hidden="false" customHeight="true" outlineLevel="0" collapsed="false">
      <c r="A36" s="11" t="s">
        <v>261</v>
      </c>
      <c r="B36" s="12"/>
      <c r="C36" s="12"/>
      <c r="D36" s="12"/>
      <c r="E36" s="12"/>
      <c r="F36" s="12"/>
      <c r="G36" s="12"/>
      <c r="H36" s="12"/>
      <c r="I36" s="12"/>
    </row>
    <row r="37" customFormat="false" ht="27.75" hidden="false" customHeight="true" outlineLevel="0" collapsed="false">
      <c r="A37" s="6" t="s">
        <v>262</v>
      </c>
      <c r="B37" s="6" t="s">
        <v>263</v>
      </c>
      <c r="C37" s="6" t="s">
        <v>264</v>
      </c>
      <c r="D37" s="6" t="s">
        <v>252</v>
      </c>
      <c r="E37" s="6" t="s">
        <v>265</v>
      </c>
      <c r="F37" s="17"/>
      <c r="G37" s="17"/>
      <c r="H37" s="6" t="s">
        <v>266</v>
      </c>
      <c r="I37" s="6" t="s">
        <v>4</v>
      </c>
    </row>
    <row r="38" customFormat="false" ht="33" hidden="false" customHeight="true" outlineLevel="0" collapsed="false">
      <c r="A38" s="8" t="s">
        <v>267</v>
      </c>
      <c r="B38" s="8" t="s">
        <v>268</v>
      </c>
      <c r="C38" s="8" t="s">
        <v>269</v>
      </c>
      <c r="D38" s="23" t="n">
        <v>0</v>
      </c>
      <c r="E38" s="8" t="s">
        <v>270</v>
      </c>
      <c r="F38" s="8"/>
      <c r="G38" s="8"/>
      <c r="H38" s="8" t="s">
        <v>271</v>
      </c>
      <c r="I38" s="8" t="s">
        <v>272</v>
      </c>
    </row>
    <row r="39" customFormat="false" ht="33" hidden="false" customHeight="true" outlineLevel="0" collapsed="false">
      <c r="A39" s="10" t="s">
        <v>273</v>
      </c>
      <c r="B39" s="10" t="s">
        <v>268</v>
      </c>
      <c r="C39" s="10" t="s">
        <v>274</v>
      </c>
      <c r="D39" s="24" t="n">
        <v>4.99</v>
      </c>
      <c r="E39" s="10" t="s">
        <v>270</v>
      </c>
      <c r="F39" s="10"/>
      <c r="G39" s="10"/>
      <c r="H39" s="10" t="s">
        <v>271</v>
      </c>
      <c r="I39" s="10" t="s">
        <v>272</v>
      </c>
    </row>
    <row r="40" customFormat="false" ht="33" hidden="false" customHeight="true" outlineLevel="0" collapsed="false">
      <c r="A40" s="8" t="s">
        <v>275</v>
      </c>
      <c r="B40" s="8" t="s">
        <v>268</v>
      </c>
      <c r="C40" s="8" t="s">
        <v>276</v>
      </c>
      <c r="D40" s="23" t="n">
        <v>24.92</v>
      </c>
      <c r="E40" s="8" t="s">
        <v>270</v>
      </c>
      <c r="F40" s="8"/>
      <c r="G40" s="8"/>
      <c r="H40" s="8" t="s">
        <v>271</v>
      </c>
      <c r="I40" s="8" t="s">
        <v>272</v>
      </c>
    </row>
    <row r="41" customFormat="false" ht="33" hidden="false" customHeight="true" outlineLevel="0" collapsed="false">
      <c r="A41" s="10" t="s">
        <v>277</v>
      </c>
      <c r="B41" s="10" t="s">
        <v>268</v>
      </c>
      <c r="C41" s="10" t="s">
        <v>278</v>
      </c>
      <c r="D41" s="24" t="n">
        <v>416.58</v>
      </c>
      <c r="E41" s="10" t="s">
        <v>270</v>
      </c>
      <c r="F41" s="10"/>
      <c r="G41" s="10"/>
      <c r="H41" s="10" t="s">
        <v>271</v>
      </c>
      <c r="I41" s="10" t="s">
        <v>272</v>
      </c>
    </row>
    <row r="42" customFormat="false" ht="33" hidden="false" customHeight="true" outlineLevel="0" collapsed="false">
      <c r="A42" s="8" t="s">
        <v>279</v>
      </c>
      <c r="B42" s="8" t="s">
        <v>280</v>
      </c>
      <c r="C42" s="8" t="s">
        <v>281</v>
      </c>
      <c r="D42" s="23" t="n">
        <v>0</v>
      </c>
      <c r="E42" s="8" t="s">
        <v>270</v>
      </c>
      <c r="F42" s="8"/>
      <c r="G42" s="8"/>
      <c r="H42" s="8" t="s">
        <v>271</v>
      </c>
      <c r="I42" s="8" t="s">
        <v>282</v>
      </c>
    </row>
    <row r="43" customFormat="false" ht="33" hidden="false" customHeight="true" outlineLevel="0" collapsed="false">
      <c r="A43" s="10" t="s">
        <v>283</v>
      </c>
      <c r="B43" s="10" t="s">
        <v>284</v>
      </c>
      <c r="C43" s="10" t="s">
        <v>285</v>
      </c>
      <c r="D43" s="24" t="s">
        <v>75</v>
      </c>
      <c r="E43" s="10"/>
      <c r="F43" s="10"/>
      <c r="G43" s="10"/>
      <c r="H43" s="10" t="s">
        <v>286</v>
      </c>
      <c r="I43" s="10" t="s">
        <v>287</v>
      </c>
    </row>
    <row r="44" customFormat="false" ht="33" hidden="false" customHeight="true" outlineLevel="0" collapsed="false">
      <c r="A44" s="8" t="s">
        <v>288</v>
      </c>
      <c r="B44" s="8" t="s">
        <v>289</v>
      </c>
      <c r="C44" s="8" t="s">
        <v>290</v>
      </c>
      <c r="D44" s="23" t="s">
        <v>75</v>
      </c>
      <c r="E44" s="8"/>
      <c r="F44" s="8"/>
      <c r="G44" s="8"/>
      <c r="H44" s="8" t="s">
        <v>291</v>
      </c>
      <c r="I44" s="8" t="s">
        <v>292</v>
      </c>
    </row>
    <row r="46" customFormat="false" ht="24" hidden="false" customHeight="true" outlineLevel="0" collapsed="false">
      <c r="A46" s="11" t="s">
        <v>293</v>
      </c>
      <c r="B46" s="12"/>
      <c r="C46" s="12"/>
      <c r="D46" s="12"/>
      <c r="E46" s="12"/>
      <c r="F46" s="12"/>
      <c r="G46" s="12"/>
      <c r="H46" s="12"/>
      <c r="I46" s="12"/>
    </row>
    <row r="47" customFormat="false" ht="27.75" hidden="false" customHeight="true" outlineLevel="0" collapsed="false">
      <c r="A47" s="6" t="s">
        <v>294</v>
      </c>
      <c r="B47" s="6" t="s">
        <v>295</v>
      </c>
      <c r="C47" s="17"/>
      <c r="D47" s="17"/>
      <c r="E47" s="17"/>
      <c r="F47" s="17"/>
      <c r="G47" s="17"/>
      <c r="H47" s="17"/>
      <c r="I47" s="6" t="s">
        <v>32</v>
      </c>
    </row>
    <row r="48" customFormat="false" ht="20.25" hidden="false" customHeight="true" outlineLevel="0" collapsed="false">
      <c r="A48" s="8" t="s">
        <v>296</v>
      </c>
      <c r="B48" s="8" t="str">
        <f aca="false">IF(ISBLANK(B6),"TBD - not chosen","Chosen: "&amp;B6)</f>
        <v>TBD - not chosen</v>
      </c>
      <c r="C48" s="8"/>
      <c r="D48" s="8"/>
      <c r="E48" s="8"/>
      <c r="F48" s="8"/>
      <c r="G48" s="8"/>
      <c r="H48" s="8"/>
      <c r="I48" s="8" t="s">
        <v>297</v>
      </c>
    </row>
    <row r="49" customFormat="false" ht="33" hidden="false" customHeight="true" outlineLevel="0" collapsed="false">
      <c r="A49" s="10" t="s">
        <v>298</v>
      </c>
      <c r="B49" s="10" t="str">
        <f aca="false">COUNT(F12:F14)&amp;" of 3"</f>
        <v>0 of 3</v>
      </c>
      <c r="C49" s="10"/>
      <c r="D49" s="10"/>
      <c r="E49" s="10"/>
      <c r="F49" s="10"/>
      <c r="G49" s="10"/>
      <c r="H49" s="10"/>
      <c r="I49" s="10" t="s">
        <v>299</v>
      </c>
    </row>
    <row r="50" customFormat="false" ht="20.25" hidden="false" customHeight="true" outlineLevel="0" collapsed="false">
      <c r="A50" s="8" t="s">
        <v>300</v>
      </c>
      <c r="B50" s="8" t="str">
        <f aca="false">COUNTIF(D18:F28,"TBD")&amp;" of "&amp;COUNTA(D18:F28)</f>
        <v>33 of 33</v>
      </c>
      <c r="C50" s="8"/>
      <c r="D50" s="8"/>
      <c r="E50" s="8"/>
      <c r="F50" s="8"/>
      <c r="G50" s="8"/>
      <c r="H50" s="8"/>
      <c r="I50" s="8" t="s">
        <v>301</v>
      </c>
    </row>
    <row r="51" customFormat="false" ht="33" hidden="false" customHeight="true" outlineLevel="0" collapsed="false">
      <c r="A51" s="10" t="s">
        <v>302</v>
      </c>
      <c r="B51" s="10" t="str">
        <f aca="false">IF(OR(B8="Hosted",B8="Both"),"CONFLICT: PRD lists multi-tenant SaaS as a non-goal","OK / undecided")</f>
        <v>OK / undecided</v>
      </c>
      <c r="C51" s="10"/>
      <c r="D51" s="10"/>
      <c r="E51" s="10"/>
      <c r="F51" s="10"/>
      <c r="G51" s="10"/>
      <c r="H51" s="10"/>
      <c r="I51" s="10" t="s">
        <v>303</v>
      </c>
    </row>
  </sheetData>
  <mergeCells count="1">
    <mergeCell ref="A2:I2"/>
  </mergeCells>
  <conditionalFormatting sqref="F12:F14">
    <cfRule type="cellIs" priority="2" operator="equal" aboveAverage="0" equalAverage="0" bottom="0" percent="0" rank="0" text="" dxfId="0">
      <formula>"TBD"</formula>
    </cfRule>
  </conditionalFormatting>
  <conditionalFormatting sqref="D18:F28">
    <cfRule type="cellIs" priority="3" operator="equal" aboveAverage="0" equalAverage="0" bottom="0" percent="0" rank="0" text="" dxfId="0">
      <formula>"TBD"</formula>
    </cfRule>
  </conditionalFormatting>
  <conditionalFormatting sqref="D32:D34">
    <cfRule type="cellIs" priority="4" operator="equal" aboveAverage="0" equalAverage="0" bottom="0" percent="0" rank="0" text="" dxfId="0">
      <formula>"TBD"</formula>
    </cfRule>
  </conditionalFormatting>
  <conditionalFormatting sqref="D38:D44">
    <cfRule type="cellIs" priority="5" operator="equal" aboveAverage="0" equalAverage="0" bottom="0" percent="0" rank="0" text="" dxfId="0">
      <formula>"TBD"</formula>
    </cfRule>
  </conditionalFormatting>
  <dataValidations count="6">
    <dataValidation allowBlank="true" errorStyle="stop" operator="between" showDropDown="false" showErrorMessage="false" showInputMessage="false" sqref="B6" type="list">
      <formula1>"Per device,Per synced GB,Per fleet,Other"</formula1>
      <formula2>0</formula2>
    </dataValidation>
    <dataValidation allowBlank="true" errorStyle="stop" operator="between" showDropDown="false" showErrorMessage="false" showInputMessage="false" sqref="B7" type="list">
      <formula1>"Yes,No"</formula1>
      <formula2>0</formula2>
    </dataValidation>
    <dataValidation allowBlank="true" errorStyle="stop" operator="between" showDropDown="false" showErrorMessage="false" showInputMessage="false" sqref="B8" type="list">
      <formula1>"Self-hosted,Hosted,Both"</formula1>
      <formula2>0</formula2>
    </dataValidation>
    <dataValidation allowBlank="true" errorStyle="stop" operator="between" showDropDown="false" showErrorMessage="false" showInputMessage="false" sqref="E12:E14" type="list">
      <formula1>"Monthly,Annual"</formula1>
      <formula2>0</formula2>
    </dataValidation>
    <dataValidation allowBlank="true" errorStyle="stop" operator="greaterThanOrEqual" showDropDown="false" showErrorMessage="false" showInputMessage="false" sqref="D12:D14" type="decimal">
      <formula1>0</formula1>
      <formula2>0</formula2>
    </dataValidation>
    <dataValidation allowBlank="false" errorStyle="stop" operator="between" showDropDown="false" showErrorMessage="false" showInputMessage="false" sqref="D18:F28" type="list">
      <formula1>"Included,Add-on,Not included,TBD"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&amp;K64748bEDGE.MEM · GTM Pricing&amp;C&amp;8 &amp;K64748b&amp;A&amp;R&amp;8 &amp;K64748bPage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7857"/>
    <pageSetUpPr fitToPage="true"/>
  </sheetPr>
  <dimension ref="A1:Z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2" topLeftCell="C23" activePane="bottomRight" state="frozen"/>
      <selection pane="topLeft" activeCell="A1" activeCellId="0" sqref="A1"/>
      <selection pane="topRight" activeCell="C1" activeCellId="0" sqref="C1"/>
      <selection pane="bottomLeft" activeCell="A23" activeCellId="0" sqref="A2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4"/>
    <col collapsed="false" customWidth="true" hidden="false" outlineLevel="0" max="26" min="3" style="1" width="11"/>
  </cols>
  <sheetData>
    <row r="1" customFormat="false" ht="36" hidden="false" customHeight="true" outlineLevel="0" collapsed="false">
      <c r="A1" s="2" t="s">
        <v>304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4.75" hidden="false" customHeight="true" outlineLevel="0" collapsed="false">
      <c r="A2" s="4" t="s">
        <v>305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31.5" hidden="false" customHeight="true" outlineLevel="0" collapsed="false">
      <c r="A4" s="25" t="s">
        <v>306</v>
      </c>
      <c r="B4" s="25" t="str">
        <f aca="false">'Assumptions &amp; Sources'!$C$15</f>
        <v>INCOMPLETE</v>
      </c>
      <c r="C4" s="26" t="s">
        <v>307</v>
      </c>
      <c r="D4" s="26"/>
      <c r="E4" s="26"/>
      <c r="F4" s="26"/>
      <c r="G4" s="26"/>
      <c r="H4" s="26"/>
      <c r="I4" s="26"/>
      <c r="J4" s="26"/>
      <c r="K4" s="26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customFormat="false" ht="20.25" hidden="false" customHeight="true" outlineLevel="0" collapsed="false">
      <c r="A5" s="7" t="s">
        <v>308</v>
      </c>
      <c r="B5" s="28" t="str">
        <f aca="false">IF(ISBLANK(Pricing!$B$6),"TBD",Pricing!$B$6)</f>
        <v>TBD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customFormat="false" ht="20.25" hidden="false" customHeight="true" outlineLevel="0" collapsed="false">
      <c r="A6" s="9" t="s">
        <v>309</v>
      </c>
      <c r="B6" s="29" t="str">
        <f aca="false">'Assumptions &amp; Sources'!$C$6</f>
        <v>USD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8" customFormat="false" ht="24" hidden="false" customHeight="true" outlineLevel="0" collapsed="false">
      <c r="A8" s="11" t="s">
        <v>310</v>
      </c>
      <c r="B8" s="12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customFormat="false" ht="20.25" hidden="false" customHeight="true" outlineLevel="0" collapsed="false">
      <c r="A9" s="8" t="s">
        <v>311</v>
      </c>
      <c r="B9" s="30" t="str">
        <f aca="false">IF(ISBLANK('Assumptions &amp; Sources'!$C$7),"TBD",'Assumptions &amp; Sources'!$C$7)</f>
        <v>TBD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customFormat="false" ht="20.25" hidden="false" customHeight="true" outlineLevel="0" collapsed="false">
      <c r="A10" s="10" t="s">
        <v>312</v>
      </c>
      <c r="B10" s="31" t="str">
        <f aca="false">IF(ISBLANK('Assumptions &amp; Sources'!$C$8),"TBD",'Assumptions &amp; Sources'!$C$8)</f>
        <v>TBD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customFormat="false" ht="20.25" hidden="false" customHeight="true" outlineLevel="0" collapsed="false">
      <c r="A11" s="8" t="s">
        <v>313</v>
      </c>
      <c r="B11" s="32" t="str">
        <f aca="false">IF(ISBLANK('Assumptions &amp; Sources'!$C$9),"TBD",'Assumptions &amp; Sources'!$C$9)</f>
        <v>TBD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customFormat="false" ht="20.25" hidden="false" customHeight="true" outlineLevel="0" collapsed="false">
      <c r="A12" s="10" t="s">
        <v>314</v>
      </c>
      <c r="B12" s="31" t="str">
        <f aca="false">IF(ISBLANK('Assumptions &amp; Sources'!$C$10),"TBD",'Assumptions &amp; Sources'!$C$10)</f>
        <v>TBD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customFormat="false" ht="33" hidden="false" customHeight="true" outlineLevel="0" collapsed="false">
      <c r="A13" s="8" t="s">
        <v>315</v>
      </c>
      <c r="B13" s="32" t="str">
        <f aca="false">IF(ISBLANK('Assumptions &amp; Sources'!$C$11),"TBD",'Assumptions &amp; Sources'!$C$11)</f>
        <v>TBD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customFormat="false" ht="20.25" hidden="false" customHeight="true" outlineLevel="0" collapsed="false">
      <c r="A14" s="10" t="s">
        <v>316</v>
      </c>
      <c r="B14" s="33" t="str">
        <f aca="false">IF(ISBLANK('Assumptions &amp; Sources'!$C$12),"TBD",'Assumptions &amp; Sources'!$C$12)</f>
        <v>TBD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customFormat="false" ht="20.25" hidden="false" customHeight="true" outlineLevel="0" collapsed="false">
      <c r="A15" s="8" t="s">
        <v>317</v>
      </c>
      <c r="B15" s="32" t="str">
        <f aca="false">IF(ISBLANK('Assumptions &amp; Sources'!$C$13),"TBD",'Assumptions &amp; Sources'!$C$13)</f>
        <v>TBD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customFormat="false" ht="20.25" hidden="false" customHeight="true" outlineLevel="0" collapsed="false">
      <c r="A16" s="10" t="s">
        <v>318</v>
      </c>
      <c r="B16" s="33" t="str">
        <f aca="false">IF(ISBLANK('Assumptions &amp; Sources'!$C$14),"TBD",'Assumptions &amp; Sources'!$C$14)</f>
        <v>TBD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customFormat="false" ht="20.25" hidden="false" customHeight="true" outlineLevel="0" collapsed="false">
      <c r="A17" s="8" t="s">
        <v>319</v>
      </c>
      <c r="B17" s="34" t="str">
        <f aca="false">Pricing!$F$12</f>
        <v>TBD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customFormat="false" ht="20.25" hidden="false" customHeight="true" outlineLevel="0" collapsed="false">
      <c r="A18" s="10" t="s">
        <v>320</v>
      </c>
      <c r="B18" s="35" t="str">
        <f aca="false">Pricing!$F$13</f>
        <v>TBD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customFormat="false" ht="20.25" hidden="false" customHeight="true" outlineLevel="0" collapsed="false">
      <c r="A19" s="8" t="s">
        <v>321</v>
      </c>
      <c r="B19" s="34" t="str">
        <f aca="false">Pricing!$F$14</f>
        <v>TBD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1" customFormat="false" ht="24" hidden="false" customHeight="true" outlineLevel="0" collapsed="false">
      <c r="A21" s="11" t="s">
        <v>322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customFormat="false" ht="27.75" hidden="false" customHeight="true" outlineLevel="0" collapsed="false">
      <c r="A22" s="36" t="s">
        <v>323</v>
      </c>
      <c r="B22" s="36" t="s">
        <v>265</v>
      </c>
      <c r="C22" s="37" t="s">
        <v>324</v>
      </c>
      <c r="D22" s="37" t="s">
        <v>325</v>
      </c>
      <c r="E22" s="37" t="s">
        <v>326</v>
      </c>
      <c r="F22" s="37" t="s">
        <v>327</v>
      </c>
      <c r="G22" s="37" t="s">
        <v>328</v>
      </c>
      <c r="H22" s="37" t="s">
        <v>329</v>
      </c>
      <c r="I22" s="37" t="s">
        <v>330</v>
      </c>
      <c r="J22" s="37" t="s">
        <v>331</v>
      </c>
      <c r="K22" s="37" t="s">
        <v>332</v>
      </c>
      <c r="L22" s="37" t="s">
        <v>333</v>
      </c>
      <c r="M22" s="37" t="s">
        <v>334</v>
      </c>
      <c r="N22" s="37" t="s">
        <v>335</v>
      </c>
      <c r="O22" s="37" t="s">
        <v>336</v>
      </c>
      <c r="P22" s="37" t="s">
        <v>337</v>
      </c>
      <c r="Q22" s="37" t="s">
        <v>338</v>
      </c>
      <c r="R22" s="37" t="s">
        <v>339</v>
      </c>
      <c r="S22" s="37" t="s">
        <v>340</v>
      </c>
      <c r="T22" s="37" t="s">
        <v>341</v>
      </c>
      <c r="U22" s="37" t="s">
        <v>342</v>
      </c>
      <c r="V22" s="37" t="s">
        <v>343</v>
      </c>
      <c r="W22" s="37" t="s">
        <v>344</v>
      </c>
      <c r="X22" s="37" t="s">
        <v>345</v>
      </c>
      <c r="Y22" s="37" t="s">
        <v>346</v>
      </c>
      <c r="Z22" s="37" t="s">
        <v>347</v>
      </c>
    </row>
    <row r="23" customFormat="false" ht="20.25" hidden="false" customHeight="true" outlineLevel="0" collapsed="false">
      <c r="A23" s="8" t="s">
        <v>348</v>
      </c>
      <c r="B23" s="38" t="s">
        <v>349</v>
      </c>
      <c r="C23" s="39" t="str">
        <f aca="false">IF($B$4&lt;&gt;"Complete","TBD",$B$9)</f>
        <v>TBD</v>
      </c>
      <c r="D23" s="39" t="str">
        <f aca="false">IF($B$4&lt;&gt;"Complete","TBD",C26)</f>
        <v>TBD</v>
      </c>
      <c r="E23" s="39" t="str">
        <f aca="false">IF($B$4&lt;&gt;"Complete","TBD",D26)</f>
        <v>TBD</v>
      </c>
      <c r="F23" s="39" t="str">
        <f aca="false">IF($B$4&lt;&gt;"Complete","TBD",E26)</f>
        <v>TBD</v>
      </c>
      <c r="G23" s="39" t="str">
        <f aca="false">IF($B$4&lt;&gt;"Complete","TBD",F26)</f>
        <v>TBD</v>
      </c>
      <c r="H23" s="39" t="str">
        <f aca="false">IF($B$4&lt;&gt;"Complete","TBD",G26)</f>
        <v>TBD</v>
      </c>
      <c r="I23" s="39" t="str">
        <f aca="false">IF($B$4&lt;&gt;"Complete","TBD",H26)</f>
        <v>TBD</v>
      </c>
      <c r="J23" s="39" t="str">
        <f aca="false">IF($B$4&lt;&gt;"Complete","TBD",I26)</f>
        <v>TBD</v>
      </c>
      <c r="K23" s="39" t="str">
        <f aca="false">IF($B$4&lt;&gt;"Complete","TBD",J26)</f>
        <v>TBD</v>
      </c>
      <c r="L23" s="39" t="str">
        <f aca="false">IF($B$4&lt;&gt;"Complete","TBD",K26)</f>
        <v>TBD</v>
      </c>
      <c r="M23" s="39" t="str">
        <f aca="false">IF($B$4&lt;&gt;"Complete","TBD",L26)</f>
        <v>TBD</v>
      </c>
      <c r="N23" s="39" t="str">
        <f aca="false">IF($B$4&lt;&gt;"Complete","TBD",M26)</f>
        <v>TBD</v>
      </c>
      <c r="O23" s="39" t="str">
        <f aca="false">IF($B$4&lt;&gt;"Complete","TBD",N26)</f>
        <v>TBD</v>
      </c>
      <c r="P23" s="39" t="str">
        <f aca="false">IF($B$4&lt;&gt;"Complete","TBD",O26)</f>
        <v>TBD</v>
      </c>
      <c r="Q23" s="39" t="str">
        <f aca="false">IF($B$4&lt;&gt;"Complete","TBD",P26)</f>
        <v>TBD</v>
      </c>
      <c r="R23" s="39" t="str">
        <f aca="false">IF($B$4&lt;&gt;"Complete","TBD",Q26)</f>
        <v>TBD</v>
      </c>
      <c r="S23" s="39" t="str">
        <f aca="false">IF($B$4&lt;&gt;"Complete","TBD",R26)</f>
        <v>TBD</v>
      </c>
      <c r="T23" s="39" t="str">
        <f aca="false">IF($B$4&lt;&gt;"Complete","TBD",S26)</f>
        <v>TBD</v>
      </c>
      <c r="U23" s="39" t="str">
        <f aca="false">IF($B$4&lt;&gt;"Complete","TBD",T26)</f>
        <v>TBD</v>
      </c>
      <c r="V23" s="39" t="str">
        <f aca="false">IF($B$4&lt;&gt;"Complete","TBD",U26)</f>
        <v>TBD</v>
      </c>
      <c r="W23" s="39" t="str">
        <f aca="false">IF($B$4&lt;&gt;"Complete","TBD",V26)</f>
        <v>TBD</v>
      </c>
      <c r="X23" s="39" t="str">
        <f aca="false">IF($B$4&lt;&gt;"Complete","TBD",W26)</f>
        <v>TBD</v>
      </c>
      <c r="Y23" s="39" t="str">
        <f aca="false">IF($B$4&lt;&gt;"Complete","TBD",X26)</f>
        <v>TBD</v>
      </c>
      <c r="Z23" s="39" t="str">
        <f aca="false">IF($B$4&lt;&gt;"Complete","TBD",Y26)</f>
        <v>TBD</v>
      </c>
    </row>
    <row r="24" customFormat="false" ht="20.25" hidden="false" customHeight="true" outlineLevel="0" collapsed="false">
      <c r="A24" s="10" t="s">
        <v>350</v>
      </c>
      <c r="B24" s="40" t="s">
        <v>349</v>
      </c>
      <c r="C24" s="41" t="str">
        <f aca="false">IF($B$4&lt;&gt;"Complete","TBD",$B$10)</f>
        <v>TBD</v>
      </c>
      <c r="D24" s="41" t="str">
        <f aca="false">IF($B$4&lt;&gt;"Complete","TBD",$B$10)</f>
        <v>TBD</v>
      </c>
      <c r="E24" s="41" t="str">
        <f aca="false">IF($B$4&lt;&gt;"Complete","TBD",$B$10)</f>
        <v>TBD</v>
      </c>
      <c r="F24" s="41" t="str">
        <f aca="false">IF($B$4&lt;&gt;"Complete","TBD",$B$10)</f>
        <v>TBD</v>
      </c>
      <c r="G24" s="41" t="str">
        <f aca="false">IF($B$4&lt;&gt;"Complete","TBD",$B$10)</f>
        <v>TBD</v>
      </c>
      <c r="H24" s="41" t="str">
        <f aca="false">IF($B$4&lt;&gt;"Complete","TBD",$B$10)</f>
        <v>TBD</v>
      </c>
      <c r="I24" s="41" t="str">
        <f aca="false">IF($B$4&lt;&gt;"Complete","TBD",$B$10)</f>
        <v>TBD</v>
      </c>
      <c r="J24" s="41" t="str">
        <f aca="false">IF($B$4&lt;&gt;"Complete","TBD",$B$10)</f>
        <v>TBD</v>
      </c>
      <c r="K24" s="41" t="str">
        <f aca="false">IF($B$4&lt;&gt;"Complete","TBD",$B$10)</f>
        <v>TBD</v>
      </c>
      <c r="L24" s="41" t="str">
        <f aca="false">IF($B$4&lt;&gt;"Complete","TBD",$B$10)</f>
        <v>TBD</v>
      </c>
      <c r="M24" s="41" t="str">
        <f aca="false">IF($B$4&lt;&gt;"Complete","TBD",$B$10)</f>
        <v>TBD</v>
      </c>
      <c r="N24" s="41" t="str">
        <f aca="false">IF($B$4&lt;&gt;"Complete","TBD",$B$10)</f>
        <v>TBD</v>
      </c>
      <c r="O24" s="41" t="str">
        <f aca="false">IF($B$4&lt;&gt;"Complete","TBD",$B$10)</f>
        <v>TBD</v>
      </c>
      <c r="P24" s="41" t="str">
        <f aca="false">IF($B$4&lt;&gt;"Complete","TBD",$B$10)</f>
        <v>TBD</v>
      </c>
      <c r="Q24" s="41" t="str">
        <f aca="false">IF($B$4&lt;&gt;"Complete","TBD",$B$10)</f>
        <v>TBD</v>
      </c>
      <c r="R24" s="41" t="str">
        <f aca="false">IF($B$4&lt;&gt;"Complete","TBD",$B$10)</f>
        <v>TBD</v>
      </c>
      <c r="S24" s="41" t="str">
        <f aca="false">IF($B$4&lt;&gt;"Complete","TBD",$B$10)</f>
        <v>TBD</v>
      </c>
      <c r="T24" s="41" t="str">
        <f aca="false">IF($B$4&lt;&gt;"Complete","TBD",$B$10)</f>
        <v>TBD</v>
      </c>
      <c r="U24" s="41" t="str">
        <f aca="false">IF($B$4&lt;&gt;"Complete","TBD",$B$10)</f>
        <v>TBD</v>
      </c>
      <c r="V24" s="41" t="str">
        <f aca="false">IF($B$4&lt;&gt;"Complete","TBD",$B$10)</f>
        <v>TBD</v>
      </c>
      <c r="W24" s="41" t="str">
        <f aca="false">IF($B$4&lt;&gt;"Complete","TBD",$B$10)</f>
        <v>TBD</v>
      </c>
      <c r="X24" s="41" t="str">
        <f aca="false">IF($B$4&lt;&gt;"Complete","TBD",$B$10)</f>
        <v>TBD</v>
      </c>
      <c r="Y24" s="41" t="str">
        <f aca="false">IF($B$4&lt;&gt;"Complete","TBD",$B$10)</f>
        <v>TBD</v>
      </c>
      <c r="Z24" s="41" t="str">
        <f aca="false">IF($B$4&lt;&gt;"Complete","TBD",$B$10)</f>
        <v>TBD</v>
      </c>
    </row>
    <row r="25" customFormat="false" ht="20.25" hidden="false" customHeight="true" outlineLevel="0" collapsed="false">
      <c r="A25" s="8" t="s">
        <v>351</v>
      </c>
      <c r="B25" s="38" t="s">
        <v>349</v>
      </c>
      <c r="C25" s="39" t="str">
        <f aca="false">IF($B$4&lt;&gt;"Complete","TBD",C23*$B$11)</f>
        <v>TBD</v>
      </c>
      <c r="D25" s="39" t="str">
        <f aca="false">IF($B$4&lt;&gt;"Complete","TBD",D23*$B$11)</f>
        <v>TBD</v>
      </c>
      <c r="E25" s="39" t="str">
        <f aca="false">IF($B$4&lt;&gt;"Complete","TBD",E23*$B$11)</f>
        <v>TBD</v>
      </c>
      <c r="F25" s="39" t="str">
        <f aca="false">IF($B$4&lt;&gt;"Complete","TBD",F23*$B$11)</f>
        <v>TBD</v>
      </c>
      <c r="G25" s="39" t="str">
        <f aca="false">IF($B$4&lt;&gt;"Complete","TBD",G23*$B$11)</f>
        <v>TBD</v>
      </c>
      <c r="H25" s="39" t="str">
        <f aca="false">IF($B$4&lt;&gt;"Complete","TBD",H23*$B$11)</f>
        <v>TBD</v>
      </c>
      <c r="I25" s="39" t="str">
        <f aca="false">IF($B$4&lt;&gt;"Complete","TBD",I23*$B$11)</f>
        <v>TBD</v>
      </c>
      <c r="J25" s="39" t="str">
        <f aca="false">IF($B$4&lt;&gt;"Complete","TBD",J23*$B$11)</f>
        <v>TBD</v>
      </c>
      <c r="K25" s="39" t="str">
        <f aca="false">IF($B$4&lt;&gt;"Complete","TBD",K23*$B$11)</f>
        <v>TBD</v>
      </c>
      <c r="L25" s="39" t="str">
        <f aca="false">IF($B$4&lt;&gt;"Complete","TBD",L23*$B$11)</f>
        <v>TBD</v>
      </c>
      <c r="M25" s="39" t="str">
        <f aca="false">IF($B$4&lt;&gt;"Complete","TBD",M23*$B$11)</f>
        <v>TBD</v>
      </c>
      <c r="N25" s="39" t="str">
        <f aca="false">IF($B$4&lt;&gt;"Complete","TBD",N23*$B$11)</f>
        <v>TBD</v>
      </c>
      <c r="O25" s="39" t="str">
        <f aca="false">IF($B$4&lt;&gt;"Complete","TBD",O23*$B$11)</f>
        <v>TBD</v>
      </c>
      <c r="P25" s="39" t="str">
        <f aca="false">IF($B$4&lt;&gt;"Complete","TBD",P23*$B$11)</f>
        <v>TBD</v>
      </c>
      <c r="Q25" s="39" t="str">
        <f aca="false">IF($B$4&lt;&gt;"Complete","TBD",Q23*$B$11)</f>
        <v>TBD</v>
      </c>
      <c r="R25" s="39" t="str">
        <f aca="false">IF($B$4&lt;&gt;"Complete","TBD",R23*$B$11)</f>
        <v>TBD</v>
      </c>
      <c r="S25" s="39" t="str">
        <f aca="false">IF($B$4&lt;&gt;"Complete","TBD",S23*$B$11)</f>
        <v>TBD</v>
      </c>
      <c r="T25" s="39" t="str">
        <f aca="false">IF($B$4&lt;&gt;"Complete","TBD",T23*$B$11)</f>
        <v>TBD</v>
      </c>
      <c r="U25" s="39" t="str">
        <f aca="false">IF($B$4&lt;&gt;"Complete","TBD",U23*$B$11)</f>
        <v>TBD</v>
      </c>
      <c r="V25" s="39" t="str">
        <f aca="false">IF($B$4&lt;&gt;"Complete","TBD",V23*$B$11)</f>
        <v>TBD</v>
      </c>
      <c r="W25" s="39" t="str">
        <f aca="false">IF($B$4&lt;&gt;"Complete","TBD",W23*$B$11)</f>
        <v>TBD</v>
      </c>
      <c r="X25" s="39" t="str">
        <f aca="false">IF($B$4&lt;&gt;"Complete","TBD",X23*$B$11)</f>
        <v>TBD</v>
      </c>
      <c r="Y25" s="39" t="str">
        <f aca="false">IF($B$4&lt;&gt;"Complete","TBD",Y23*$B$11)</f>
        <v>TBD</v>
      </c>
      <c r="Z25" s="39" t="str">
        <f aca="false">IF($B$4&lt;&gt;"Complete","TBD",Z23*$B$11)</f>
        <v>TBD</v>
      </c>
    </row>
    <row r="26" customFormat="false" ht="20.25" hidden="false" customHeight="true" outlineLevel="0" collapsed="false">
      <c r="A26" s="42" t="s">
        <v>352</v>
      </c>
      <c r="B26" s="43" t="s">
        <v>349</v>
      </c>
      <c r="C26" s="44" t="str">
        <f aca="false">IF($B$4&lt;&gt;"Complete","TBD",C23+C24-C25)</f>
        <v>TBD</v>
      </c>
      <c r="D26" s="44" t="str">
        <f aca="false">IF($B$4&lt;&gt;"Complete","TBD",D23+D24-D25)</f>
        <v>TBD</v>
      </c>
      <c r="E26" s="44" t="str">
        <f aca="false">IF($B$4&lt;&gt;"Complete","TBD",E23+E24-E25)</f>
        <v>TBD</v>
      </c>
      <c r="F26" s="44" t="str">
        <f aca="false">IF($B$4&lt;&gt;"Complete","TBD",F23+F24-F25)</f>
        <v>TBD</v>
      </c>
      <c r="G26" s="44" t="str">
        <f aca="false">IF($B$4&lt;&gt;"Complete","TBD",G23+G24-G25)</f>
        <v>TBD</v>
      </c>
      <c r="H26" s="44" t="str">
        <f aca="false">IF($B$4&lt;&gt;"Complete","TBD",H23+H24-H25)</f>
        <v>TBD</v>
      </c>
      <c r="I26" s="44" t="str">
        <f aca="false">IF($B$4&lt;&gt;"Complete","TBD",I23+I24-I25)</f>
        <v>TBD</v>
      </c>
      <c r="J26" s="44" t="str">
        <f aca="false">IF($B$4&lt;&gt;"Complete","TBD",J23+J24-J25)</f>
        <v>TBD</v>
      </c>
      <c r="K26" s="44" t="str">
        <f aca="false">IF($B$4&lt;&gt;"Complete","TBD",K23+K24-K25)</f>
        <v>TBD</v>
      </c>
      <c r="L26" s="44" t="str">
        <f aca="false">IF($B$4&lt;&gt;"Complete","TBD",L23+L24-L25)</f>
        <v>TBD</v>
      </c>
      <c r="M26" s="44" t="str">
        <f aca="false">IF($B$4&lt;&gt;"Complete","TBD",M23+M24-M25)</f>
        <v>TBD</v>
      </c>
      <c r="N26" s="44" t="str">
        <f aca="false">IF($B$4&lt;&gt;"Complete","TBD",N23+N24-N25)</f>
        <v>TBD</v>
      </c>
      <c r="O26" s="44" t="str">
        <f aca="false">IF($B$4&lt;&gt;"Complete","TBD",O23+O24-O25)</f>
        <v>TBD</v>
      </c>
      <c r="P26" s="44" t="str">
        <f aca="false">IF($B$4&lt;&gt;"Complete","TBD",P23+P24-P25)</f>
        <v>TBD</v>
      </c>
      <c r="Q26" s="44" t="str">
        <f aca="false">IF($B$4&lt;&gt;"Complete","TBD",Q23+Q24-Q25)</f>
        <v>TBD</v>
      </c>
      <c r="R26" s="44" t="str">
        <f aca="false">IF($B$4&lt;&gt;"Complete","TBD",R23+R24-R25)</f>
        <v>TBD</v>
      </c>
      <c r="S26" s="44" t="str">
        <f aca="false">IF($B$4&lt;&gt;"Complete","TBD",S23+S24-S25)</f>
        <v>TBD</v>
      </c>
      <c r="T26" s="44" t="str">
        <f aca="false">IF($B$4&lt;&gt;"Complete","TBD",T23+T24-T25)</f>
        <v>TBD</v>
      </c>
      <c r="U26" s="44" t="str">
        <f aca="false">IF($B$4&lt;&gt;"Complete","TBD",U23+U24-U25)</f>
        <v>TBD</v>
      </c>
      <c r="V26" s="44" t="str">
        <f aca="false">IF($B$4&lt;&gt;"Complete","TBD",V23+V24-V25)</f>
        <v>TBD</v>
      </c>
      <c r="W26" s="44" t="str">
        <f aca="false">IF($B$4&lt;&gt;"Complete","TBD",W23+W24-W25)</f>
        <v>TBD</v>
      </c>
      <c r="X26" s="44" t="str">
        <f aca="false">IF($B$4&lt;&gt;"Complete","TBD",X23+X24-X25)</f>
        <v>TBD</v>
      </c>
      <c r="Y26" s="44" t="str">
        <f aca="false">IF($B$4&lt;&gt;"Complete","TBD",Y23+Y24-Y25)</f>
        <v>TBD</v>
      </c>
      <c r="Z26" s="44" t="str">
        <f aca="false">IF($B$4&lt;&gt;"Complete","TBD",Z23+Z24-Z25)</f>
        <v>TBD</v>
      </c>
    </row>
    <row r="27" customFormat="false" ht="20.25" hidden="false" customHeight="true" outlineLevel="0" collapsed="false">
      <c r="A27" s="8" t="s">
        <v>353</v>
      </c>
      <c r="B27" s="38" t="s">
        <v>354</v>
      </c>
      <c r="C27" s="39" t="str">
        <f aca="false">IF($B$4&lt;&gt;"Complete","TBD",$B$12)</f>
        <v>TBD</v>
      </c>
      <c r="D27" s="39" t="str">
        <f aca="false">IF($B$4&lt;&gt;"Complete","TBD",C27*(1+$B$13))</f>
        <v>TBD</v>
      </c>
      <c r="E27" s="39" t="str">
        <f aca="false">IF($B$4&lt;&gt;"Complete","TBD",D27*(1+$B$13))</f>
        <v>TBD</v>
      </c>
      <c r="F27" s="39" t="str">
        <f aca="false">IF($B$4&lt;&gt;"Complete","TBD",E27*(1+$B$13))</f>
        <v>TBD</v>
      </c>
      <c r="G27" s="39" t="str">
        <f aca="false">IF($B$4&lt;&gt;"Complete","TBD",F27*(1+$B$13))</f>
        <v>TBD</v>
      </c>
      <c r="H27" s="39" t="str">
        <f aca="false">IF($B$4&lt;&gt;"Complete","TBD",G27*(1+$B$13))</f>
        <v>TBD</v>
      </c>
      <c r="I27" s="39" t="str">
        <f aca="false">IF($B$4&lt;&gt;"Complete","TBD",H27*(1+$B$13))</f>
        <v>TBD</v>
      </c>
      <c r="J27" s="39" t="str">
        <f aca="false">IF($B$4&lt;&gt;"Complete","TBD",I27*(1+$B$13))</f>
        <v>TBD</v>
      </c>
      <c r="K27" s="39" t="str">
        <f aca="false">IF($B$4&lt;&gt;"Complete","TBD",J27*(1+$B$13))</f>
        <v>TBD</v>
      </c>
      <c r="L27" s="39" t="str">
        <f aca="false">IF($B$4&lt;&gt;"Complete","TBD",K27*(1+$B$13))</f>
        <v>TBD</v>
      </c>
      <c r="M27" s="39" t="str">
        <f aca="false">IF($B$4&lt;&gt;"Complete","TBD",L27*(1+$B$13))</f>
        <v>TBD</v>
      </c>
      <c r="N27" s="39" t="str">
        <f aca="false">IF($B$4&lt;&gt;"Complete","TBD",M27*(1+$B$13))</f>
        <v>TBD</v>
      </c>
      <c r="O27" s="39" t="str">
        <f aca="false">IF($B$4&lt;&gt;"Complete","TBD",N27*(1+$B$13))</f>
        <v>TBD</v>
      </c>
      <c r="P27" s="39" t="str">
        <f aca="false">IF($B$4&lt;&gt;"Complete","TBD",O27*(1+$B$13))</f>
        <v>TBD</v>
      </c>
      <c r="Q27" s="39" t="str">
        <f aca="false">IF($B$4&lt;&gt;"Complete","TBD",P27*(1+$B$13))</f>
        <v>TBD</v>
      </c>
      <c r="R27" s="39" t="str">
        <f aca="false">IF($B$4&lt;&gt;"Complete","TBD",Q27*(1+$B$13))</f>
        <v>TBD</v>
      </c>
      <c r="S27" s="39" t="str">
        <f aca="false">IF($B$4&lt;&gt;"Complete","TBD",R27*(1+$B$13))</f>
        <v>TBD</v>
      </c>
      <c r="T27" s="39" t="str">
        <f aca="false">IF($B$4&lt;&gt;"Complete","TBD",S27*(1+$B$13))</f>
        <v>TBD</v>
      </c>
      <c r="U27" s="39" t="str">
        <f aca="false">IF($B$4&lt;&gt;"Complete","TBD",T27*(1+$B$13))</f>
        <v>TBD</v>
      </c>
      <c r="V27" s="39" t="str">
        <f aca="false">IF($B$4&lt;&gt;"Complete","TBD",U27*(1+$B$13))</f>
        <v>TBD</v>
      </c>
      <c r="W27" s="39" t="str">
        <f aca="false">IF($B$4&lt;&gt;"Complete","TBD",V27*(1+$B$13))</f>
        <v>TBD</v>
      </c>
      <c r="X27" s="39" t="str">
        <f aca="false">IF($B$4&lt;&gt;"Complete","TBD",W27*(1+$B$13))</f>
        <v>TBD</v>
      </c>
      <c r="Y27" s="39" t="str">
        <f aca="false">IF($B$4&lt;&gt;"Complete","TBD",X27*(1+$B$13))</f>
        <v>TBD</v>
      </c>
      <c r="Z27" s="39" t="str">
        <f aca="false">IF($B$4&lt;&gt;"Complete","TBD",Y27*(1+$B$13))</f>
        <v>TBD</v>
      </c>
    </row>
    <row r="28" customFormat="false" ht="20.25" hidden="false" customHeight="true" outlineLevel="0" collapsed="false">
      <c r="A28" s="10" t="s">
        <v>355</v>
      </c>
      <c r="B28" s="40" t="s">
        <v>354</v>
      </c>
      <c r="C28" s="41" t="str">
        <f aca="false">IF($B$4&lt;&gt;"Complete","TBD",C26*C27)</f>
        <v>TBD</v>
      </c>
      <c r="D28" s="41" t="str">
        <f aca="false">IF($B$4&lt;&gt;"Complete","TBD",D26*D27)</f>
        <v>TBD</v>
      </c>
      <c r="E28" s="41" t="str">
        <f aca="false">IF($B$4&lt;&gt;"Complete","TBD",E26*E27)</f>
        <v>TBD</v>
      </c>
      <c r="F28" s="41" t="str">
        <f aca="false">IF($B$4&lt;&gt;"Complete","TBD",F26*F27)</f>
        <v>TBD</v>
      </c>
      <c r="G28" s="41" t="str">
        <f aca="false">IF($B$4&lt;&gt;"Complete","TBD",G26*G27)</f>
        <v>TBD</v>
      </c>
      <c r="H28" s="41" t="str">
        <f aca="false">IF($B$4&lt;&gt;"Complete","TBD",H26*H27)</f>
        <v>TBD</v>
      </c>
      <c r="I28" s="41" t="str">
        <f aca="false">IF($B$4&lt;&gt;"Complete","TBD",I26*I27)</f>
        <v>TBD</v>
      </c>
      <c r="J28" s="41" t="str">
        <f aca="false">IF($B$4&lt;&gt;"Complete","TBD",J26*J27)</f>
        <v>TBD</v>
      </c>
      <c r="K28" s="41" t="str">
        <f aca="false">IF($B$4&lt;&gt;"Complete","TBD",K26*K27)</f>
        <v>TBD</v>
      </c>
      <c r="L28" s="41" t="str">
        <f aca="false">IF($B$4&lt;&gt;"Complete","TBD",L26*L27)</f>
        <v>TBD</v>
      </c>
      <c r="M28" s="41" t="str">
        <f aca="false">IF($B$4&lt;&gt;"Complete","TBD",M26*M27)</f>
        <v>TBD</v>
      </c>
      <c r="N28" s="41" t="str">
        <f aca="false">IF($B$4&lt;&gt;"Complete","TBD",N26*N27)</f>
        <v>TBD</v>
      </c>
      <c r="O28" s="41" t="str">
        <f aca="false">IF($B$4&lt;&gt;"Complete","TBD",O26*O27)</f>
        <v>TBD</v>
      </c>
      <c r="P28" s="41" t="str">
        <f aca="false">IF($B$4&lt;&gt;"Complete","TBD",P26*P27)</f>
        <v>TBD</v>
      </c>
      <c r="Q28" s="41" t="str">
        <f aca="false">IF($B$4&lt;&gt;"Complete","TBD",Q26*Q27)</f>
        <v>TBD</v>
      </c>
      <c r="R28" s="41" t="str">
        <f aca="false">IF($B$4&lt;&gt;"Complete","TBD",R26*R27)</f>
        <v>TBD</v>
      </c>
      <c r="S28" s="41" t="str">
        <f aca="false">IF($B$4&lt;&gt;"Complete","TBD",S26*S27)</f>
        <v>TBD</v>
      </c>
      <c r="T28" s="41" t="str">
        <f aca="false">IF($B$4&lt;&gt;"Complete","TBD",T26*T27)</f>
        <v>TBD</v>
      </c>
      <c r="U28" s="41" t="str">
        <f aca="false">IF($B$4&lt;&gt;"Complete","TBD",U26*U27)</f>
        <v>TBD</v>
      </c>
      <c r="V28" s="41" t="str">
        <f aca="false">IF($B$4&lt;&gt;"Complete","TBD",V26*V27)</f>
        <v>TBD</v>
      </c>
      <c r="W28" s="41" t="str">
        <f aca="false">IF($B$4&lt;&gt;"Complete","TBD",W26*W27)</f>
        <v>TBD</v>
      </c>
      <c r="X28" s="41" t="str">
        <f aca="false">IF($B$4&lt;&gt;"Complete","TBD",X26*X27)</f>
        <v>TBD</v>
      </c>
      <c r="Y28" s="41" t="str">
        <f aca="false">IF($B$4&lt;&gt;"Complete","TBD",Y26*Y27)</f>
        <v>TBD</v>
      </c>
      <c r="Z28" s="41" t="str">
        <f aca="false">IF($B$4&lt;&gt;"Complete","TBD",Z26*Z27)</f>
        <v>TBD</v>
      </c>
    </row>
    <row r="29" customFormat="false" ht="20.25" hidden="false" customHeight="true" outlineLevel="0" collapsed="false">
      <c r="A29" s="8" t="s">
        <v>356</v>
      </c>
      <c r="B29" s="38" t="s">
        <v>354</v>
      </c>
      <c r="C29" s="39" t="str">
        <f aca="false">IF($B$4&lt;&gt;"Complete","TBD",C28*$B$14)</f>
        <v>TBD</v>
      </c>
      <c r="D29" s="39" t="str">
        <f aca="false">IF($B$4&lt;&gt;"Complete","TBD",D28*$B$14)</f>
        <v>TBD</v>
      </c>
      <c r="E29" s="39" t="str">
        <f aca="false">IF($B$4&lt;&gt;"Complete","TBD",E28*$B$14)</f>
        <v>TBD</v>
      </c>
      <c r="F29" s="39" t="str">
        <f aca="false">IF($B$4&lt;&gt;"Complete","TBD",F28*$B$14)</f>
        <v>TBD</v>
      </c>
      <c r="G29" s="39" t="str">
        <f aca="false">IF($B$4&lt;&gt;"Complete","TBD",G28*$B$14)</f>
        <v>TBD</v>
      </c>
      <c r="H29" s="39" t="str">
        <f aca="false">IF($B$4&lt;&gt;"Complete","TBD",H28*$B$14)</f>
        <v>TBD</v>
      </c>
      <c r="I29" s="39" t="str">
        <f aca="false">IF($B$4&lt;&gt;"Complete","TBD",I28*$B$14)</f>
        <v>TBD</v>
      </c>
      <c r="J29" s="39" t="str">
        <f aca="false">IF($B$4&lt;&gt;"Complete","TBD",J28*$B$14)</f>
        <v>TBD</v>
      </c>
      <c r="K29" s="39" t="str">
        <f aca="false">IF($B$4&lt;&gt;"Complete","TBD",K28*$B$14)</f>
        <v>TBD</v>
      </c>
      <c r="L29" s="39" t="str">
        <f aca="false">IF($B$4&lt;&gt;"Complete","TBD",L28*$B$14)</f>
        <v>TBD</v>
      </c>
      <c r="M29" s="39" t="str">
        <f aca="false">IF($B$4&lt;&gt;"Complete","TBD",M28*$B$14)</f>
        <v>TBD</v>
      </c>
      <c r="N29" s="39" t="str">
        <f aca="false">IF($B$4&lt;&gt;"Complete","TBD",N28*$B$14)</f>
        <v>TBD</v>
      </c>
      <c r="O29" s="39" t="str">
        <f aca="false">IF($B$4&lt;&gt;"Complete","TBD",O28*$B$14)</f>
        <v>TBD</v>
      </c>
      <c r="P29" s="39" t="str">
        <f aca="false">IF($B$4&lt;&gt;"Complete","TBD",P28*$B$14)</f>
        <v>TBD</v>
      </c>
      <c r="Q29" s="39" t="str">
        <f aca="false">IF($B$4&lt;&gt;"Complete","TBD",Q28*$B$14)</f>
        <v>TBD</v>
      </c>
      <c r="R29" s="39" t="str">
        <f aca="false">IF($B$4&lt;&gt;"Complete","TBD",R28*$B$14)</f>
        <v>TBD</v>
      </c>
      <c r="S29" s="39" t="str">
        <f aca="false">IF($B$4&lt;&gt;"Complete","TBD",S28*$B$14)</f>
        <v>TBD</v>
      </c>
      <c r="T29" s="39" t="str">
        <f aca="false">IF($B$4&lt;&gt;"Complete","TBD",T28*$B$14)</f>
        <v>TBD</v>
      </c>
      <c r="U29" s="39" t="str">
        <f aca="false">IF($B$4&lt;&gt;"Complete","TBD",U28*$B$14)</f>
        <v>TBD</v>
      </c>
      <c r="V29" s="39" t="str">
        <f aca="false">IF($B$4&lt;&gt;"Complete","TBD",V28*$B$14)</f>
        <v>TBD</v>
      </c>
      <c r="W29" s="39" t="str">
        <f aca="false">IF($B$4&lt;&gt;"Complete","TBD",W28*$B$14)</f>
        <v>TBD</v>
      </c>
      <c r="X29" s="39" t="str">
        <f aca="false">IF($B$4&lt;&gt;"Complete","TBD",X28*$B$14)</f>
        <v>TBD</v>
      </c>
      <c r="Y29" s="39" t="str">
        <f aca="false">IF($B$4&lt;&gt;"Complete","TBD",Y28*$B$14)</f>
        <v>TBD</v>
      </c>
      <c r="Z29" s="39" t="str">
        <f aca="false">IF($B$4&lt;&gt;"Complete","TBD",Z28*$B$14)</f>
        <v>TBD</v>
      </c>
    </row>
    <row r="30" customFormat="false" ht="20.25" hidden="false" customHeight="true" outlineLevel="0" collapsed="false">
      <c r="A30" s="10" t="s">
        <v>357</v>
      </c>
      <c r="B30" s="40" t="s">
        <v>354</v>
      </c>
      <c r="C30" s="41" t="str">
        <f aca="false">IF($B$4&lt;&gt;"Complete","TBD",C28*$B$15)</f>
        <v>TBD</v>
      </c>
      <c r="D30" s="41" t="str">
        <f aca="false">IF($B$4&lt;&gt;"Complete","TBD",D28*$B$15)</f>
        <v>TBD</v>
      </c>
      <c r="E30" s="41" t="str">
        <f aca="false">IF($B$4&lt;&gt;"Complete","TBD",E28*$B$15)</f>
        <v>TBD</v>
      </c>
      <c r="F30" s="41" t="str">
        <f aca="false">IF($B$4&lt;&gt;"Complete","TBD",F28*$B$15)</f>
        <v>TBD</v>
      </c>
      <c r="G30" s="41" t="str">
        <f aca="false">IF($B$4&lt;&gt;"Complete","TBD",G28*$B$15)</f>
        <v>TBD</v>
      </c>
      <c r="H30" s="41" t="str">
        <f aca="false">IF($B$4&lt;&gt;"Complete","TBD",H28*$B$15)</f>
        <v>TBD</v>
      </c>
      <c r="I30" s="41" t="str">
        <f aca="false">IF($B$4&lt;&gt;"Complete","TBD",I28*$B$15)</f>
        <v>TBD</v>
      </c>
      <c r="J30" s="41" t="str">
        <f aca="false">IF($B$4&lt;&gt;"Complete","TBD",J28*$B$15)</f>
        <v>TBD</v>
      </c>
      <c r="K30" s="41" t="str">
        <f aca="false">IF($B$4&lt;&gt;"Complete","TBD",K28*$B$15)</f>
        <v>TBD</v>
      </c>
      <c r="L30" s="41" t="str">
        <f aca="false">IF($B$4&lt;&gt;"Complete","TBD",L28*$B$15)</f>
        <v>TBD</v>
      </c>
      <c r="M30" s="41" t="str">
        <f aca="false">IF($B$4&lt;&gt;"Complete","TBD",M28*$B$15)</f>
        <v>TBD</v>
      </c>
      <c r="N30" s="41" t="str">
        <f aca="false">IF($B$4&lt;&gt;"Complete","TBD",N28*$B$15)</f>
        <v>TBD</v>
      </c>
      <c r="O30" s="41" t="str">
        <f aca="false">IF($B$4&lt;&gt;"Complete","TBD",O28*$B$15)</f>
        <v>TBD</v>
      </c>
      <c r="P30" s="41" t="str">
        <f aca="false">IF($B$4&lt;&gt;"Complete","TBD",P28*$B$15)</f>
        <v>TBD</v>
      </c>
      <c r="Q30" s="41" t="str">
        <f aca="false">IF($B$4&lt;&gt;"Complete","TBD",Q28*$B$15)</f>
        <v>TBD</v>
      </c>
      <c r="R30" s="41" t="str">
        <f aca="false">IF($B$4&lt;&gt;"Complete","TBD",R28*$B$15)</f>
        <v>TBD</v>
      </c>
      <c r="S30" s="41" t="str">
        <f aca="false">IF($B$4&lt;&gt;"Complete","TBD",S28*$B$15)</f>
        <v>TBD</v>
      </c>
      <c r="T30" s="41" t="str">
        <f aca="false">IF($B$4&lt;&gt;"Complete","TBD",T28*$B$15)</f>
        <v>TBD</v>
      </c>
      <c r="U30" s="41" t="str">
        <f aca="false">IF($B$4&lt;&gt;"Complete","TBD",U28*$B$15)</f>
        <v>TBD</v>
      </c>
      <c r="V30" s="41" t="str">
        <f aca="false">IF($B$4&lt;&gt;"Complete","TBD",V28*$B$15)</f>
        <v>TBD</v>
      </c>
      <c r="W30" s="41" t="str">
        <f aca="false">IF($B$4&lt;&gt;"Complete","TBD",W28*$B$15)</f>
        <v>TBD</v>
      </c>
      <c r="X30" s="41" t="str">
        <f aca="false">IF($B$4&lt;&gt;"Complete","TBD",X28*$B$15)</f>
        <v>TBD</v>
      </c>
      <c r="Y30" s="41" t="str">
        <f aca="false">IF($B$4&lt;&gt;"Complete","TBD",Y28*$B$15)</f>
        <v>TBD</v>
      </c>
      <c r="Z30" s="41" t="str">
        <f aca="false">IF($B$4&lt;&gt;"Complete","TBD",Z28*$B$15)</f>
        <v>TBD</v>
      </c>
    </row>
    <row r="31" customFormat="false" ht="20.25" hidden="false" customHeight="true" outlineLevel="0" collapsed="false">
      <c r="A31" s="8" t="s">
        <v>358</v>
      </c>
      <c r="B31" s="38" t="s">
        <v>354</v>
      </c>
      <c r="C31" s="39" t="str">
        <f aca="false">IF($B$4&lt;&gt;"Complete","TBD",C28*$B$16)</f>
        <v>TBD</v>
      </c>
      <c r="D31" s="39" t="str">
        <f aca="false">IF($B$4&lt;&gt;"Complete","TBD",D28*$B$16)</f>
        <v>TBD</v>
      </c>
      <c r="E31" s="39" t="str">
        <f aca="false">IF($B$4&lt;&gt;"Complete","TBD",E28*$B$16)</f>
        <v>TBD</v>
      </c>
      <c r="F31" s="39" t="str">
        <f aca="false">IF($B$4&lt;&gt;"Complete","TBD",F28*$B$16)</f>
        <v>TBD</v>
      </c>
      <c r="G31" s="39" t="str">
        <f aca="false">IF($B$4&lt;&gt;"Complete","TBD",G28*$B$16)</f>
        <v>TBD</v>
      </c>
      <c r="H31" s="39" t="str">
        <f aca="false">IF($B$4&lt;&gt;"Complete","TBD",H28*$B$16)</f>
        <v>TBD</v>
      </c>
      <c r="I31" s="39" t="str">
        <f aca="false">IF($B$4&lt;&gt;"Complete","TBD",I28*$B$16)</f>
        <v>TBD</v>
      </c>
      <c r="J31" s="39" t="str">
        <f aca="false">IF($B$4&lt;&gt;"Complete","TBD",J28*$B$16)</f>
        <v>TBD</v>
      </c>
      <c r="K31" s="39" t="str">
        <f aca="false">IF($B$4&lt;&gt;"Complete","TBD",K28*$B$16)</f>
        <v>TBD</v>
      </c>
      <c r="L31" s="39" t="str">
        <f aca="false">IF($B$4&lt;&gt;"Complete","TBD",L28*$B$16)</f>
        <v>TBD</v>
      </c>
      <c r="M31" s="39" t="str">
        <f aca="false">IF($B$4&lt;&gt;"Complete","TBD",M28*$B$16)</f>
        <v>TBD</v>
      </c>
      <c r="N31" s="39" t="str">
        <f aca="false">IF($B$4&lt;&gt;"Complete","TBD",N28*$B$16)</f>
        <v>TBD</v>
      </c>
      <c r="O31" s="39" t="str">
        <f aca="false">IF($B$4&lt;&gt;"Complete","TBD",O28*$B$16)</f>
        <v>TBD</v>
      </c>
      <c r="P31" s="39" t="str">
        <f aca="false">IF($B$4&lt;&gt;"Complete","TBD",P28*$B$16)</f>
        <v>TBD</v>
      </c>
      <c r="Q31" s="39" t="str">
        <f aca="false">IF($B$4&lt;&gt;"Complete","TBD",Q28*$B$16)</f>
        <v>TBD</v>
      </c>
      <c r="R31" s="39" t="str">
        <f aca="false">IF($B$4&lt;&gt;"Complete","TBD",R28*$B$16)</f>
        <v>TBD</v>
      </c>
      <c r="S31" s="39" t="str">
        <f aca="false">IF($B$4&lt;&gt;"Complete","TBD",S28*$B$16)</f>
        <v>TBD</v>
      </c>
      <c r="T31" s="39" t="str">
        <f aca="false">IF($B$4&lt;&gt;"Complete","TBD",T28*$B$16)</f>
        <v>TBD</v>
      </c>
      <c r="U31" s="39" t="str">
        <f aca="false">IF($B$4&lt;&gt;"Complete","TBD",U28*$B$16)</f>
        <v>TBD</v>
      </c>
      <c r="V31" s="39" t="str">
        <f aca="false">IF($B$4&lt;&gt;"Complete","TBD",V28*$B$16)</f>
        <v>TBD</v>
      </c>
      <c r="W31" s="39" t="str">
        <f aca="false">IF($B$4&lt;&gt;"Complete","TBD",W28*$B$16)</f>
        <v>TBD</v>
      </c>
      <c r="X31" s="39" t="str">
        <f aca="false">IF($B$4&lt;&gt;"Complete","TBD",X28*$B$16)</f>
        <v>TBD</v>
      </c>
      <c r="Y31" s="39" t="str">
        <f aca="false">IF($B$4&lt;&gt;"Complete","TBD",Y28*$B$16)</f>
        <v>TBD</v>
      </c>
      <c r="Z31" s="39" t="str">
        <f aca="false">IF($B$4&lt;&gt;"Complete","TBD",Z28*$B$16)</f>
        <v>TBD</v>
      </c>
    </row>
    <row r="32" customFormat="false" ht="20.25" hidden="false" customHeight="true" outlineLevel="0" collapsed="false">
      <c r="A32" s="10" t="s">
        <v>359</v>
      </c>
      <c r="B32" s="40" t="s">
        <v>360</v>
      </c>
      <c r="C32" s="45" t="str">
        <f aca="false">IF($B$4&lt;&gt;"Complete","TBD",IF($B$14=0,0,C29*$B$17))</f>
        <v>TBD</v>
      </c>
      <c r="D32" s="45" t="str">
        <f aca="false">IF($B$4&lt;&gt;"Complete","TBD",IF($B$14=0,0,D29*$B$17))</f>
        <v>TBD</v>
      </c>
      <c r="E32" s="45" t="str">
        <f aca="false">IF($B$4&lt;&gt;"Complete","TBD",IF($B$14=0,0,E29*$B$17))</f>
        <v>TBD</v>
      </c>
      <c r="F32" s="45" t="str">
        <f aca="false">IF($B$4&lt;&gt;"Complete","TBD",IF($B$14=0,0,F29*$B$17))</f>
        <v>TBD</v>
      </c>
      <c r="G32" s="45" t="str">
        <f aca="false">IF($B$4&lt;&gt;"Complete","TBD",IF($B$14=0,0,G29*$B$17))</f>
        <v>TBD</v>
      </c>
      <c r="H32" s="45" t="str">
        <f aca="false">IF($B$4&lt;&gt;"Complete","TBD",IF($B$14=0,0,H29*$B$17))</f>
        <v>TBD</v>
      </c>
      <c r="I32" s="45" t="str">
        <f aca="false">IF($B$4&lt;&gt;"Complete","TBD",IF($B$14=0,0,I29*$B$17))</f>
        <v>TBD</v>
      </c>
      <c r="J32" s="45" t="str">
        <f aca="false">IF($B$4&lt;&gt;"Complete","TBD",IF($B$14=0,0,J29*$B$17))</f>
        <v>TBD</v>
      </c>
      <c r="K32" s="45" t="str">
        <f aca="false">IF($B$4&lt;&gt;"Complete","TBD",IF($B$14=0,0,K29*$B$17))</f>
        <v>TBD</v>
      </c>
      <c r="L32" s="45" t="str">
        <f aca="false">IF($B$4&lt;&gt;"Complete","TBD",IF($B$14=0,0,L29*$B$17))</f>
        <v>TBD</v>
      </c>
      <c r="M32" s="45" t="str">
        <f aca="false">IF($B$4&lt;&gt;"Complete","TBD",IF($B$14=0,0,M29*$B$17))</f>
        <v>TBD</v>
      </c>
      <c r="N32" s="45" t="str">
        <f aca="false">IF($B$4&lt;&gt;"Complete","TBD",IF($B$14=0,0,N29*$B$17))</f>
        <v>TBD</v>
      </c>
      <c r="O32" s="45" t="str">
        <f aca="false">IF($B$4&lt;&gt;"Complete","TBD",IF($B$14=0,0,O29*$B$17))</f>
        <v>TBD</v>
      </c>
      <c r="P32" s="45" t="str">
        <f aca="false">IF($B$4&lt;&gt;"Complete","TBD",IF($B$14=0,0,P29*$B$17))</f>
        <v>TBD</v>
      </c>
      <c r="Q32" s="45" t="str">
        <f aca="false">IF($B$4&lt;&gt;"Complete","TBD",IF($B$14=0,0,Q29*$B$17))</f>
        <v>TBD</v>
      </c>
      <c r="R32" s="45" t="str">
        <f aca="false">IF($B$4&lt;&gt;"Complete","TBD",IF($B$14=0,0,R29*$B$17))</f>
        <v>TBD</v>
      </c>
      <c r="S32" s="45" t="str">
        <f aca="false">IF($B$4&lt;&gt;"Complete","TBD",IF($B$14=0,0,S29*$B$17))</f>
        <v>TBD</v>
      </c>
      <c r="T32" s="45" t="str">
        <f aca="false">IF($B$4&lt;&gt;"Complete","TBD",IF($B$14=0,0,T29*$B$17))</f>
        <v>TBD</v>
      </c>
      <c r="U32" s="45" t="str">
        <f aca="false">IF($B$4&lt;&gt;"Complete","TBD",IF($B$14=0,0,U29*$B$17))</f>
        <v>TBD</v>
      </c>
      <c r="V32" s="45" t="str">
        <f aca="false">IF($B$4&lt;&gt;"Complete","TBD",IF($B$14=0,0,V29*$B$17))</f>
        <v>TBD</v>
      </c>
      <c r="W32" s="45" t="str">
        <f aca="false">IF($B$4&lt;&gt;"Complete","TBD",IF($B$14=0,0,W29*$B$17))</f>
        <v>TBD</v>
      </c>
      <c r="X32" s="45" t="str">
        <f aca="false">IF($B$4&lt;&gt;"Complete","TBD",IF($B$14=0,0,X29*$B$17))</f>
        <v>TBD</v>
      </c>
      <c r="Y32" s="45" t="str">
        <f aca="false">IF($B$4&lt;&gt;"Complete","TBD",IF($B$14=0,0,Y29*$B$17))</f>
        <v>TBD</v>
      </c>
      <c r="Z32" s="45" t="str">
        <f aca="false">IF($B$4&lt;&gt;"Complete","TBD",IF($B$14=0,0,Z29*$B$17))</f>
        <v>TBD</v>
      </c>
    </row>
    <row r="33" customFormat="false" ht="20.25" hidden="false" customHeight="true" outlineLevel="0" collapsed="false">
      <c r="A33" s="8" t="s">
        <v>361</v>
      </c>
      <c r="B33" s="38" t="s">
        <v>360</v>
      </c>
      <c r="C33" s="46" t="str">
        <f aca="false">IF($B$4&lt;&gt;"Complete","TBD",IF($B$15=0,0,C30*$B$18))</f>
        <v>TBD</v>
      </c>
      <c r="D33" s="46" t="str">
        <f aca="false">IF($B$4&lt;&gt;"Complete","TBD",IF($B$15=0,0,D30*$B$18))</f>
        <v>TBD</v>
      </c>
      <c r="E33" s="46" t="str">
        <f aca="false">IF($B$4&lt;&gt;"Complete","TBD",IF($B$15=0,0,E30*$B$18))</f>
        <v>TBD</v>
      </c>
      <c r="F33" s="46" t="str">
        <f aca="false">IF($B$4&lt;&gt;"Complete","TBD",IF($B$15=0,0,F30*$B$18))</f>
        <v>TBD</v>
      </c>
      <c r="G33" s="46" t="str">
        <f aca="false">IF($B$4&lt;&gt;"Complete","TBD",IF($B$15=0,0,G30*$B$18))</f>
        <v>TBD</v>
      </c>
      <c r="H33" s="46" t="str">
        <f aca="false">IF($B$4&lt;&gt;"Complete","TBD",IF($B$15=0,0,H30*$B$18))</f>
        <v>TBD</v>
      </c>
      <c r="I33" s="46" t="str">
        <f aca="false">IF($B$4&lt;&gt;"Complete","TBD",IF($B$15=0,0,I30*$B$18))</f>
        <v>TBD</v>
      </c>
      <c r="J33" s="46" t="str">
        <f aca="false">IF($B$4&lt;&gt;"Complete","TBD",IF($B$15=0,0,J30*$B$18))</f>
        <v>TBD</v>
      </c>
      <c r="K33" s="46" t="str">
        <f aca="false">IF($B$4&lt;&gt;"Complete","TBD",IF($B$15=0,0,K30*$B$18))</f>
        <v>TBD</v>
      </c>
      <c r="L33" s="46" t="str">
        <f aca="false">IF($B$4&lt;&gt;"Complete","TBD",IF($B$15=0,0,L30*$B$18))</f>
        <v>TBD</v>
      </c>
      <c r="M33" s="46" t="str">
        <f aca="false">IF($B$4&lt;&gt;"Complete","TBD",IF($B$15=0,0,M30*$B$18))</f>
        <v>TBD</v>
      </c>
      <c r="N33" s="46" t="str">
        <f aca="false">IF($B$4&lt;&gt;"Complete","TBD",IF($B$15=0,0,N30*$B$18))</f>
        <v>TBD</v>
      </c>
      <c r="O33" s="46" t="str">
        <f aca="false">IF($B$4&lt;&gt;"Complete","TBD",IF($B$15=0,0,O30*$B$18))</f>
        <v>TBD</v>
      </c>
      <c r="P33" s="46" t="str">
        <f aca="false">IF($B$4&lt;&gt;"Complete","TBD",IF($B$15=0,0,P30*$B$18))</f>
        <v>TBD</v>
      </c>
      <c r="Q33" s="46" t="str">
        <f aca="false">IF($B$4&lt;&gt;"Complete","TBD",IF($B$15=0,0,Q30*$B$18))</f>
        <v>TBD</v>
      </c>
      <c r="R33" s="46" t="str">
        <f aca="false">IF($B$4&lt;&gt;"Complete","TBD",IF($B$15=0,0,R30*$B$18))</f>
        <v>TBD</v>
      </c>
      <c r="S33" s="46" t="str">
        <f aca="false">IF($B$4&lt;&gt;"Complete","TBD",IF($B$15=0,0,S30*$B$18))</f>
        <v>TBD</v>
      </c>
      <c r="T33" s="46" t="str">
        <f aca="false">IF($B$4&lt;&gt;"Complete","TBD",IF($B$15=0,0,T30*$B$18))</f>
        <v>TBD</v>
      </c>
      <c r="U33" s="46" t="str">
        <f aca="false">IF($B$4&lt;&gt;"Complete","TBD",IF($B$15=0,0,U30*$B$18))</f>
        <v>TBD</v>
      </c>
      <c r="V33" s="46" t="str">
        <f aca="false">IF($B$4&lt;&gt;"Complete","TBD",IF($B$15=0,0,V30*$B$18))</f>
        <v>TBD</v>
      </c>
      <c r="W33" s="46" t="str">
        <f aca="false">IF($B$4&lt;&gt;"Complete","TBD",IF($B$15=0,0,W30*$B$18))</f>
        <v>TBD</v>
      </c>
      <c r="X33" s="46" t="str">
        <f aca="false">IF($B$4&lt;&gt;"Complete","TBD",IF($B$15=0,0,X30*$B$18))</f>
        <v>TBD</v>
      </c>
      <c r="Y33" s="46" t="str">
        <f aca="false">IF($B$4&lt;&gt;"Complete","TBD",IF($B$15=0,0,Y30*$B$18))</f>
        <v>TBD</v>
      </c>
      <c r="Z33" s="46" t="str">
        <f aca="false">IF($B$4&lt;&gt;"Complete","TBD",IF($B$15=0,0,Z30*$B$18))</f>
        <v>TBD</v>
      </c>
    </row>
    <row r="34" customFormat="false" ht="20.25" hidden="false" customHeight="true" outlineLevel="0" collapsed="false">
      <c r="A34" s="10" t="s">
        <v>362</v>
      </c>
      <c r="B34" s="40" t="s">
        <v>360</v>
      </c>
      <c r="C34" s="45" t="str">
        <f aca="false">IF($B$4&lt;&gt;"Complete","TBD",IF($B$16=0,0,C31*$B$19))</f>
        <v>TBD</v>
      </c>
      <c r="D34" s="45" t="str">
        <f aca="false">IF($B$4&lt;&gt;"Complete","TBD",IF($B$16=0,0,D31*$B$19))</f>
        <v>TBD</v>
      </c>
      <c r="E34" s="45" t="str">
        <f aca="false">IF($B$4&lt;&gt;"Complete","TBD",IF($B$16=0,0,E31*$B$19))</f>
        <v>TBD</v>
      </c>
      <c r="F34" s="45" t="str">
        <f aca="false">IF($B$4&lt;&gt;"Complete","TBD",IF($B$16=0,0,F31*$B$19))</f>
        <v>TBD</v>
      </c>
      <c r="G34" s="45" t="str">
        <f aca="false">IF($B$4&lt;&gt;"Complete","TBD",IF($B$16=0,0,G31*$B$19))</f>
        <v>TBD</v>
      </c>
      <c r="H34" s="45" t="str">
        <f aca="false">IF($B$4&lt;&gt;"Complete","TBD",IF($B$16=0,0,H31*$B$19))</f>
        <v>TBD</v>
      </c>
      <c r="I34" s="45" t="str">
        <f aca="false">IF($B$4&lt;&gt;"Complete","TBD",IF($B$16=0,0,I31*$B$19))</f>
        <v>TBD</v>
      </c>
      <c r="J34" s="45" t="str">
        <f aca="false">IF($B$4&lt;&gt;"Complete","TBD",IF($B$16=0,0,J31*$B$19))</f>
        <v>TBD</v>
      </c>
      <c r="K34" s="45" t="str">
        <f aca="false">IF($B$4&lt;&gt;"Complete","TBD",IF($B$16=0,0,K31*$B$19))</f>
        <v>TBD</v>
      </c>
      <c r="L34" s="45" t="str">
        <f aca="false">IF($B$4&lt;&gt;"Complete","TBD",IF($B$16=0,0,L31*$B$19))</f>
        <v>TBD</v>
      </c>
      <c r="M34" s="45" t="str">
        <f aca="false">IF($B$4&lt;&gt;"Complete","TBD",IF($B$16=0,0,M31*$B$19))</f>
        <v>TBD</v>
      </c>
      <c r="N34" s="45" t="str">
        <f aca="false">IF($B$4&lt;&gt;"Complete","TBD",IF($B$16=0,0,N31*$B$19))</f>
        <v>TBD</v>
      </c>
      <c r="O34" s="45" t="str">
        <f aca="false">IF($B$4&lt;&gt;"Complete","TBD",IF($B$16=0,0,O31*$B$19))</f>
        <v>TBD</v>
      </c>
      <c r="P34" s="45" t="str">
        <f aca="false">IF($B$4&lt;&gt;"Complete","TBD",IF($B$16=0,0,P31*$B$19))</f>
        <v>TBD</v>
      </c>
      <c r="Q34" s="45" t="str">
        <f aca="false">IF($B$4&lt;&gt;"Complete","TBD",IF($B$16=0,0,Q31*$B$19))</f>
        <v>TBD</v>
      </c>
      <c r="R34" s="45" t="str">
        <f aca="false">IF($B$4&lt;&gt;"Complete","TBD",IF($B$16=0,0,R31*$B$19))</f>
        <v>TBD</v>
      </c>
      <c r="S34" s="45" t="str">
        <f aca="false">IF($B$4&lt;&gt;"Complete","TBD",IF($B$16=0,0,S31*$B$19))</f>
        <v>TBD</v>
      </c>
      <c r="T34" s="45" t="str">
        <f aca="false">IF($B$4&lt;&gt;"Complete","TBD",IF($B$16=0,0,T31*$B$19))</f>
        <v>TBD</v>
      </c>
      <c r="U34" s="45" t="str">
        <f aca="false">IF($B$4&lt;&gt;"Complete","TBD",IF($B$16=0,0,U31*$B$19))</f>
        <v>TBD</v>
      </c>
      <c r="V34" s="45" t="str">
        <f aca="false">IF($B$4&lt;&gt;"Complete","TBD",IF($B$16=0,0,V31*$B$19))</f>
        <v>TBD</v>
      </c>
      <c r="W34" s="45" t="str">
        <f aca="false">IF($B$4&lt;&gt;"Complete","TBD",IF($B$16=0,0,W31*$B$19))</f>
        <v>TBD</v>
      </c>
      <c r="X34" s="45" t="str">
        <f aca="false">IF($B$4&lt;&gt;"Complete","TBD",IF($B$16=0,0,X31*$B$19))</f>
        <v>TBD</v>
      </c>
      <c r="Y34" s="45" t="str">
        <f aca="false">IF($B$4&lt;&gt;"Complete","TBD",IF($B$16=0,0,Y31*$B$19))</f>
        <v>TBD</v>
      </c>
      <c r="Z34" s="45" t="str">
        <f aca="false">IF($B$4&lt;&gt;"Complete","TBD",IF($B$16=0,0,Z31*$B$19))</f>
        <v>TBD</v>
      </c>
    </row>
    <row r="35" customFormat="false" ht="20.25" hidden="false" customHeight="true" outlineLevel="0" collapsed="false">
      <c r="A35" s="42" t="s">
        <v>363</v>
      </c>
      <c r="B35" s="43" t="s">
        <v>360</v>
      </c>
      <c r="C35" s="47" t="str">
        <f aca="false">IF($B$4&lt;&gt;"Complete","TBD",C32+C33+C34)</f>
        <v>TBD</v>
      </c>
      <c r="D35" s="47" t="str">
        <f aca="false">IF($B$4&lt;&gt;"Complete","TBD",D32+D33+D34)</f>
        <v>TBD</v>
      </c>
      <c r="E35" s="47" t="str">
        <f aca="false">IF($B$4&lt;&gt;"Complete","TBD",E32+E33+E34)</f>
        <v>TBD</v>
      </c>
      <c r="F35" s="47" t="str">
        <f aca="false">IF($B$4&lt;&gt;"Complete","TBD",F32+F33+F34)</f>
        <v>TBD</v>
      </c>
      <c r="G35" s="47" t="str">
        <f aca="false">IF($B$4&lt;&gt;"Complete","TBD",G32+G33+G34)</f>
        <v>TBD</v>
      </c>
      <c r="H35" s="47" t="str">
        <f aca="false">IF($B$4&lt;&gt;"Complete","TBD",H32+H33+H34)</f>
        <v>TBD</v>
      </c>
      <c r="I35" s="47" t="str">
        <f aca="false">IF($B$4&lt;&gt;"Complete","TBD",I32+I33+I34)</f>
        <v>TBD</v>
      </c>
      <c r="J35" s="47" t="str">
        <f aca="false">IF($B$4&lt;&gt;"Complete","TBD",J32+J33+J34)</f>
        <v>TBD</v>
      </c>
      <c r="K35" s="47" t="str">
        <f aca="false">IF($B$4&lt;&gt;"Complete","TBD",K32+K33+K34)</f>
        <v>TBD</v>
      </c>
      <c r="L35" s="47" t="str">
        <f aca="false">IF($B$4&lt;&gt;"Complete","TBD",L32+L33+L34)</f>
        <v>TBD</v>
      </c>
      <c r="M35" s="47" t="str">
        <f aca="false">IF($B$4&lt;&gt;"Complete","TBD",M32+M33+M34)</f>
        <v>TBD</v>
      </c>
      <c r="N35" s="47" t="str">
        <f aca="false">IF($B$4&lt;&gt;"Complete","TBD",N32+N33+N34)</f>
        <v>TBD</v>
      </c>
      <c r="O35" s="47" t="str">
        <f aca="false">IF($B$4&lt;&gt;"Complete","TBD",O32+O33+O34)</f>
        <v>TBD</v>
      </c>
      <c r="P35" s="47" t="str">
        <f aca="false">IF($B$4&lt;&gt;"Complete","TBD",P32+P33+P34)</f>
        <v>TBD</v>
      </c>
      <c r="Q35" s="47" t="str">
        <f aca="false">IF($B$4&lt;&gt;"Complete","TBD",Q32+Q33+Q34)</f>
        <v>TBD</v>
      </c>
      <c r="R35" s="47" t="str">
        <f aca="false">IF($B$4&lt;&gt;"Complete","TBD",R32+R33+R34)</f>
        <v>TBD</v>
      </c>
      <c r="S35" s="47" t="str">
        <f aca="false">IF($B$4&lt;&gt;"Complete","TBD",S32+S33+S34)</f>
        <v>TBD</v>
      </c>
      <c r="T35" s="47" t="str">
        <f aca="false">IF($B$4&lt;&gt;"Complete","TBD",T32+T33+T34)</f>
        <v>TBD</v>
      </c>
      <c r="U35" s="47" t="str">
        <f aca="false">IF($B$4&lt;&gt;"Complete","TBD",U32+U33+U34)</f>
        <v>TBD</v>
      </c>
      <c r="V35" s="47" t="str">
        <f aca="false">IF($B$4&lt;&gt;"Complete","TBD",V32+V33+V34)</f>
        <v>TBD</v>
      </c>
      <c r="W35" s="47" t="str">
        <f aca="false">IF($B$4&lt;&gt;"Complete","TBD",W32+W33+W34)</f>
        <v>TBD</v>
      </c>
      <c r="X35" s="47" t="str">
        <f aca="false">IF($B$4&lt;&gt;"Complete","TBD",X32+X33+X34)</f>
        <v>TBD</v>
      </c>
      <c r="Y35" s="47" t="str">
        <f aca="false">IF($B$4&lt;&gt;"Complete","TBD",Y32+Y33+Y34)</f>
        <v>TBD</v>
      </c>
      <c r="Z35" s="47" t="str">
        <f aca="false">IF($B$4&lt;&gt;"Complete","TBD",Z32+Z33+Z34)</f>
        <v>TBD</v>
      </c>
    </row>
    <row r="36" customFormat="false" ht="20.25" hidden="false" customHeight="true" outlineLevel="0" collapsed="false">
      <c r="A36" s="42" t="s">
        <v>364</v>
      </c>
      <c r="B36" s="43" t="s">
        <v>365</v>
      </c>
      <c r="C36" s="47" t="str">
        <f aca="false">IF($B$4&lt;&gt;"Complete","TBD",C35*12)</f>
        <v>TBD</v>
      </c>
      <c r="D36" s="47" t="str">
        <f aca="false">IF($B$4&lt;&gt;"Complete","TBD",D35*12)</f>
        <v>TBD</v>
      </c>
      <c r="E36" s="47" t="str">
        <f aca="false">IF($B$4&lt;&gt;"Complete","TBD",E35*12)</f>
        <v>TBD</v>
      </c>
      <c r="F36" s="47" t="str">
        <f aca="false">IF($B$4&lt;&gt;"Complete","TBD",F35*12)</f>
        <v>TBD</v>
      </c>
      <c r="G36" s="47" t="str">
        <f aca="false">IF($B$4&lt;&gt;"Complete","TBD",G35*12)</f>
        <v>TBD</v>
      </c>
      <c r="H36" s="47" t="str">
        <f aca="false">IF($B$4&lt;&gt;"Complete","TBD",H35*12)</f>
        <v>TBD</v>
      </c>
      <c r="I36" s="47" t="str">
        <f aca="false">IF($B$4&lt;&gt;"Complete","TBD",I35*12)</f>
        <v>TBD</v>
      </c>
      <c r="J36" s="47" t="str">
        <f aca="false">IF($B$4&lt;&gt;"Complete","TBD",J35*12)</f>
        <v>TBD</v>
      </c>
      <c r="K36" s="47" t="str">
        <f aca="false">IF($B$4&lt;&gt;"Complete","TBD",K35*12)</f>
        <v>TBD</v>
      </c>
      <c r="L36" s="47" t="str">
        <f aca="false">IF($B$4&lt;&gt;"Complete","TBD",L35*12)</f>
        <v>TBD</v>
      </c>
      <c r="M36" s="47" t="str">
        <f aca="false">IF($B$4&lt;&gt;"Complete","TBD",M35*12)</f>
        <v>TBD</v>
      </c>
      <c r="N36" s="47" t="str">
        <f aca="false">IF($B$4&lt;&gt;"Complete","TBD",N35*12)</f>
        <v>TBD</v>
      </c>
      <c r="O36" s="47" t="str">
        <f aca="false">IF($B$4&lt;&gt;"Complete","TBD",O35*12)</f>
        <v>TBD</v>
      </c>
      <c r="P36" s="47" t="str">
        <f aca="false">IF($B$4&lt;&gt;"Complete","TBD",P35*12)</f>
        <v>TBD</v>
      </c>
      <c r="Q36" s="47" t="str">
        <f aca="false">IF($B$4&lt;&gt;"Complete","TBD",Q35*12)</f>
        <v>TBD</v>
      </c>
      <c r="R36" s="47" t="str">
        <f aca="false">IF($B$4&lt;&gt;"Complete","TBD",R35*12)</f>
        <v>TBD</v>
      </c>
      <c r="S36" s="47" t="str">
        <f aca="false">IF($B$4&lt;&gt;"Complete","TBD",S35*12)</f>
        <v>TBD</v>
      </c>
      <c r="T36" s="47" t="str">
        <f aca="false">IF($B$4&lt;&gt;"Complete","TBD",T35*12)</f>
        <v>TBD</v>
      </c>
      <c r="U36" s="47" t="str">
        <f aca="false">IF($B$4&lt;&gt;"Complete","TBD",U35*12)</f>
        <v>TBD</v>
      </c>
      <c r="V36" s="47" t="str">
        <f aca="false">IF($B$4&lt;&gt;"Complete","TBD",V35*12)</f>
        <v>TBD</v>
      </c>
      <c r="W36" s="47" t="str">
        <f aca="false">IF($B$4&lt;&gt;"Complete","TBD",W35*12)</f>
        <v>TBD</v>
      </c>
      <c r="X36" s="47" t="str">
        <f aca="false">IF($B$4&lt;&gt;"Complete","TBD",X35*12)</f>
        <v>TBD</v>
      </c>
      <c r="Y36" s="47" t="str">
        <f aca="false">IF($B$4&lt;&gt;"Complete","TBD",Y35*12)</f>
        <v>TBD</v>
      </c>
      <c r="Z36" s="47" t="str">
        <f aca="false">IF($B$4&lt;&gt;"Complete","TBD",Z35*12)</f>
        <v>TBD</v>
      </c>
    </row>
    <row r="37" customFormat="false" ht="20.25" hidden="false" customHeight="true" outlineLevel="0" collapsed="false">
      <c r="A37" s="8" t="s">
        <v>366</v>
      </c>
      <c r="B37" s="38" t="s">
        <v>360</v>
      </c>
      <c r="C37" s="46" t="str">
        <f aca="false">IF($B$4&lt;&gt;"Complete","TBD",IF(C26=0,0,C35/C26))</f>
        <v>TBD</v>
      </c>
      <c r="D37" s="46" t="str">
        <f aca="false">IF($B$4&lt;&gt;"Complete","TBD",IF(D26=0,0,D35/D26))</f>
        <v>TBD</v>
      </c>
      <c r="E37" s="46" t="str">
        <f aca="false">IF($B$4&lt;&gt;"Complete","TBD",IF(E26=0,0,E35/E26))</f>
        <v>TBD</v>
      </c>
      <c r="F37" s="46" t="str">
        <f aca="false">IF($B$4&lt;&gt;"Complete","TBD",IF(F26=0,0,F35/F26))</f>
        <v>TBD</v>
      </c>
      <c r="G37" s="46" t="str">
        <f aca="false">IF($B$4&lt;&gt;"Complete","TBD",IF(G26=0,0,G35/G26))</f>
        <v>TBD</v>
      </c>
      <c r="H37" s="46" t="str">
        <f aca="false">IF($B$4&lt;&gt;"Complete","TBD",IF(H26=0,0,H35/H26))</f>
        <v>TBD</v>
      </c>
      <c r="I37" s="46" t="str">
        <f aca="false">IF($B$4&lt;&gt;"Complete","TBD",IF(I26=0,0,I35/I26))</f>
        <v>TBD</v>
      </c>
      <c r="J37" s="46" t="str">
        <f aca="false">IF($B$4&lt;&gt;"Complete","TBD",IF(J26=0,0,J35/J26))</f>
        <v>TBD</v>
      </c>
      <c r="K37" s="46" t="str">
        <f aca="false">IF($B$4&lt;&gt;"Complete","TBD",IF(K26=0,0,K35/K26))</f>
        <v>TBD</v>
      </c>
      <c r="L37" s="46" t="str">
        <f aca="false">IF($B$4&lt;&gt;"Complete","TBD",IF(L26=0,0,L35/L26))</f>
        <v>TBD</v>
      </c>
      <c r="M37" s="46" t="str">
        <f aca="false">IF($B$4&lt;&gt;"Complete","TBD",IF(M26=0,0,M35/M26))</f>
        <v>TBD</v>
      </c>
      <c r="N37" s="46" t="str">
        <f aca="false">IF($B$4&lt;&gt;"Complete","TBD",IF(N26=0,0,N35/N26))</f>
        <v>TBD</v>
      </c>
      <c r="O37" s="46" t="str">
        <f aca="false">IF($B$4&lt;&gt;"Complete","TBD",IF(O26=0,0,O35/O26))</f>
        <v>TBD</v>
      </c>
      <c r="P37" s="46" t="str">
        <f aca="false">IF($B$4&lt;&gt;"Complete","TBD",IF(P26=0,0,P35/P26))</f>
        <v>TBD</v>
      </c>
      <c r="Q37" s="46" t="str">
        <f aca="false">IF($B$4&lt;&gt;"Complete","TBD",IF(Q26=0,0,Q35/Q26))</f>
        <v>TBD</v>
      </c>
      <c r="R37" s="46" t="str">
        <f aca="false">IF($B$4&lt;&gt;"Complete","TBD",IF(R26=0,0,R35/R26))</f>
        <v>TBD</v>
      </c>
      <c r="S37" s="46" t="str">
        <f aca="false">IF($B$4&lt;&gt;"Complete","TBD",IF(S26=0,0,S35/S26))</f>
        <v>TBD</v>
      </c>
      <c r="T37" s="46" t="str">
        <f aca="false">IF($B$4&lt;&gt;"Complete","TBD",IF(T26=0,0,T35/T26))</f>
        <v>TBD</v>
      </c>
      <c r="U37" s="46" t="str">
        <f aca="false">IF($B$4&lt;&gt;"Complete","TBD",IF(U26=0,0,U35/U26))</f>
        <v>TBD</v>
      </c>
      <c r="V37" s="46" t="str">
        <f aca="false">IF($B$4&lt;&gt;"Complete","TBD",IF(V26=0,0,V35/V26))</f>
        <v>TBD</v>
      </c>
      <c r="W37" s="46" t="str">
        <f aca="false">IF($B$4&lt;&gt;"Complete","TBD",IF(W26=0,0,W35/W26))</f>
        <v>TBD</v>
      </c>
      <c r="X37" s="46" t="str">
        <f aca="false">IF($B$4&lt;&gt;"Complete","TBD",IF(X26=0,0,X35/X26))</f>
        <v>TBD</v>
      </c>
      <c r="Y37" s="46" t="str">
        <f aca="false">IF($B$4&lt;&gt;"Complete","TBD",IF(Y26=0,0,Y35/Y26))</f>
        <v>TBD</v>
      </c>
      <c r="Z37" s="46" t="str">
        <f aca="false">IF($B$4&lt;&gt;"Complete","TBD",IF(Z26=0,0,Z35/Z26))</f>
        <v>TBD</v>
      </c>
    </row>
    <row r="38" customFormat="false" ht="20.25" hidden="false" customHeight="true" outlineLevel="0" collapsed="false">
      <c r="A38" s="10" t="s">
        <v>367</v>
      </c>
      <c r="B38" s="40" t="s">
        <v>368</v>
      </c>
      <c r="C38" s="45" t="str">
        <f aca="false">IF($B$4&lt;&gt;"Complete","TBD",C35)</f>
        <v>TBD</v>
      </c>
      <c r="D38" s="45" t="str">
        <f aca="false">IF($B$4&lt;&gt;"Complete","TBD",C38+D35)</f>
        <v>TBD</v>
      </c>
      <c r="E38" s="45" t="str">
        <f aca="false">IF($B$4&lt;&gt;"Complete","TBD",D38+E35)</f>
        <v>TBD</v>
      </c>
      <c r="F38" s="45" t="str">
        <f aca="false">IF($B$4&lt;&gt;"Complete","TBD",E38+F35)</f>
        <v>TBD</v>
      </c>
      <c r="G38" s="45" t="str">
        <f aca="false">IF($B$4&lt;&gt;"Complete","TBD",F38+G35)</f>
        <v>TBD</v>
      </c>
      <c r="H38" s="45" t="str">
        <f aca="false">IF($B$4&lt;&gt;"Complete","TBD",G38+H35)</f>
        <v>TBD</v>
      </c>
      <c r="I38" s="45" t="str">
        <f aca="false">IF($B$4&lt;&gt;"Complete","TBD",H38+I35)</f>
        <v>TBD</v>
      </c>
      <c r="J38" s="45" t="str">
        <f aca="false">IF($B$4&lt;&gt;"Complete","TBD",I38+J35)</f>
        <v>TBD</v>
      </c>
      <c r="K38" s="45" t="str">
        <f aca="false">IF($B$4&lt;&gt;"Complete","TBD",J38+K35)</f>
        <v>TBD</v>
      </c>
      <c r="L38" s="45" t="str">
        <f aca="false">IF($B$4&lt;&gt;"Complete","TBD",K38+L35)</f>
        <v>TBD</v>
      </c>
      <c r="M38" s="45" t="str">
        <f aca="false">IF($B$4&lt;&gt;"Complete","TBD",L38+M35)</f>
        <v>TBD</v>
      </c>
      <c r="N38" s="45" t="str">
        <f aca="false">IF($B$4&lt;&gt;"Complete","TBD",M38+N35)</f>
        <v>TBD</v>
      </c>
      <c r="O38" s="45" t="str">
        <f aca="false">IF($B$4&lt;&gt;"Complete","TBD",N38+O35)</f>
        <v>TBD</v>
      </c>
      <c r="P38" s="45" t="str">
        <f aca="false">IF($B$4&lt;&gt;"Complete","TBD",O38+P35)</f>
        <v>TBD</v>
      </c>
      <c r="Q38" s="45" t="str">
        <f aca="false">IF($B$4&lt;&gt;"Complete","TBD",P38+Q35)</f>
        <v>TBD</v>
      </c>
      <c r="R38" s="45" t="str">
        <f aca="false">IF($B$4&lt;&gt;"Complete","TBD",Q38+R35)</f>
        <v>TBD</v>
      </c>
      <c r="S38" s="45" t="str">
        <f aca="false">IF($B$4&lt;&gt;"Complete","TBD",R38+S35)</f>
        <v>TBD</v>
      </c>
      <c r="T38" s="45" t="str">
        <f aca="false">IF($B$4&lt;&gt;"Complete","TBD",S38+T35)</f>
        <v>TBD</v>
      </c>
      <c r="U38" s="45" t="str">
        <f aca="false">IF($B$4&lt;&gt;"Complete","TBD",T38+U35)</f>
        <v>TBD</v>
      </c>
      <c r="V38" s="45" t="str">
        <f aca="false">IF($B$4&lt;&gt;"Complete","TBD",U38+V35)</f>
        <v>TBD</v>
      </c>
      <c r="W38" s="45" t="str">
        <f aca="false">IF($B$4&lt;&gt;"Complete","TBD",V38+W35)</f>
        <v>TBD</v>
      </c>
      <c r="X38" s="45" t="str">
        <f aca="false">IF($B$4&lt;&gt;"Complete","TBD",W38+X35)</f>
        <v>TBD</v>
      </c>
      <c r="Y38" s="45" t="str">
        <f aca="false">IF($B$4&lt;&gt;"Complete","TBD",X38+Y35)</f>
        <v>TBD</v>
      </c>
      <c r="Z38" s="45" t="str">
        <f aca="false">IF($B$4&lt;&gt;"Complete","TBD",Y38+Z35)</f>
        <v>TBD</v>
      </c>
    </row>
    <row r="40" customFormat="false" ht="24" hidden="false" customHeight="true" outlineLevel="0" collapsed="false">
      <c r="A40" s="11" t="s">
        <v>369</v>
      </c>
      <c r="B40" s="12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customFormat="false" ht="27.75" hidden="false" customHeight="true" outlineLevel="0" collapsed="false">
      <c r="A41" s="6" t="s">
        <v>370</v>
      </c>
      <c r="B41" s="6" t="s">
        <v>31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customFormat="false" ht="20.25" hidden="false" customHeight="true" outlineLevel="0" collapsed="false">
      <c r="A42" s="8" t="s">
        <v>371</v>
      </c>
      <c r="B42" s="48" t="str">
        <f aca="false">IF($B$4&lt;&gt;"Complete","TBD",SUM(C35:N35))</f>
        <v>TBD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20.25" hidden="false" customHeight="true" outlineLevel="0" collapsed="false">
      <c r="A43" s="10" t="s">
        <v>372</v>
      </c>
      <c r="B43" s="49" t="str">
        <f aca="false">IF($B$4&lt;&gt;"Complete","TBD",SUM(O35:Z35))</f>
        <v>TBD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customFormat="false" ht="20.25" hidden="false" customHeight="true" outlineLevel="0" collapsed="false">
      <c r="A44" s="8" t="s">
        <v>373</v>
      </c>
      <c r="B44" s="48" t="str">
        <f aca="false">IF($B$4&lt;&gt;"Complete","TBD",N36)</f>
        <v>TBD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customFormat="false" ht="20.25" hidden="false" customHeight="true" outlineLevel="0" collapsed="false">
      <c r="A45" s="10" t="s">
        <v>54</v>
      </c>
      <c r="B45" s="49" t="str">
        <f aca="false">IF($B$4&lt;&gt;"Complete","TBD",Z36)</f>
        <v>TBD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customFormat="false" ht="20.25" hidden="false" customHeight="true" outlineLevel="0" collapsed="false">
      <c r="A46" s="8" t="s">
        <v>374</v>
      </c>
      <c r="B46" s="50" t="str">
        <f aca="false">IF($B$4&lt;&gt;"Complete","TBD",Z26)</f>
        <v>TBD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customFormat="false" ht="33" hidden="false" customHeight="true" outlineLevel="0" collapsed="false">
      <c r="A47" s="10" t="s">
        <v>375</v>
      </c>
      <c r="B47" s="51" t="str">
        <f aca="false">IF($B$4&lt;&gt;"Complete","TBD",(1-$B$11)^12)</f>
        <v>TBD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customFormat="false" ht="33" hidden="false" customHeight="true" outlineLevel="0" collapsed="false">
      <c r="A48" s="8" t="s">
        <v>376</v>
      </c>
      <c r="B48" s="52" t="str">
        <f aca="false">IF($B$4&lt;&gt;"Complete","TBD",(1-$B$11)^12*(1+$B$13)^12)</f>
        <v>TBD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customFormat="false" ht="20.25" hidden="false" customHeight="true" outlineLevel="0" collapsed="false">
      <c r="A49" s="10" t="s">
        <v>377</v>
      </c>
      <c r="B49" s="53" t="str">
        <f aca="false">IF($B$4&lt;&gt;"Complete","TBD",IF(Z28=0,0,Z35/Z28))</f>
        <v>TBD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1" customFormat="false" ht="19.5" hidden="false" customHeight="true" outlineLevel="0" collapsed="false">
      <c r="A51" s="26" t="s">
        <v>378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</sheetData>
  <mergeCells count="3">
    <mergeCell ref="A2:Z2"/>
    <mergeCell ref="C4:L4"/>
    <mergeCell ref="A51:Z51"/>
  </mergeCells>
  <conditionalFormatting sqref="B4">
    <cfRule type="cellIs" priority="2" operator="equal" aboveAverage="0" equalAverage="0" bottom="0" percent="0" rank="0" text="" dxfId="2">
      <formula>"Complete"</formula>
    </cfRule>
    <cfRule type="cellIs" priority="3" operator="equal" aboveAverage="0" equalAverage="0" bottom="0" percent="0" rank="0" text="" dxfId="1">
      <formula>"INCOMPLETE"</formula>
    </cfRule>
  </conditionalFormatting>
  <conditionalFormatting sqref="B5">
    <cfRule type="cellIs" priority="4" operator="equal" aboveAverage="0" equalAverage="0" bottom="0" percent="0" rank="0" text="" dxfId="0">
      <formula>"TBD"</formula>
    </cfRule>
  </conditionalFormatting>
  <conditionalFormatting sqref="B9:B19">
    <cfRule type="cellIs" priority="5" operator="equal" aboveAverage="0" equalAverage="0" bottom="0" percent="0" rank="0" text="" dxfId="0">
      <formula>"TBD"</formula>
    </cfRule>
  </conditionalFormatting>
  <conditionalFormatting sqref="C23:Z38">
    <cfRule type="cellIs" priority="6" operator="equal" aboveAverage="0" equalAverage="0" bottom="0" percent="0" rank="0" text="" dxfId="0">
      <formula>"TBD"</formula>
    </cfRule>
  </conditionalFormatting>
  <conditionalFormatting sqref="B42:B49">
    <cfRule type="cellIs" priority="7" operator="equal" aboveAverage="0" equalAverage="0" bottom="0" percent="0" rank="0" text="" dxfId="0">
      <formula>"TBD"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&amp;K64748bEDGE.MEM · GTM Pricing&amp;C&amp;8 &amp;K64748b&amp;A&amp;R&amp;8 &amp;K64748bPage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1D48"/>
    <pageSetUpPr fitToPage="tru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26"/>
    <col collapsed="false" customWidth="true" hidden="false" outlineLevel="0" max="12" min="7" style="1" width="8"/>
    <col collapsed="false" customWidth="true" hidden="false" outlineLevel="0" max="14" min="13" style="1" width="40"/>
    <col collapsed="false" customWidth="true" hidden="false" outlineLevel="0" max="15" min="15" style="1" width="20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48"/>
  </cols>
  <sheetData>
    <row r="1" customFormat="false" ht="36" hidden="false" customHeight="true" outlineLevel="0" collapsed="false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24.75" hidden="false" customHeight="true" outlineLevel="0" collapsed="false">
      <c r="A2" s="4" t="s">
        <v>380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customFormat="false" ht="51" hidden="false" customHeight="true" outlineLevel="0" collapsed="false">
      <c r="A4" s="6" t="s">
        <v>57</v>
      </c>
      <c r="B4" s="6" t="s">
        <v>381</v>
      </c>
      <c r="C4" s="6" t="s">
        <v>382</v>
      </c>
      <c r="D4" s="6" t="s">
        <v>8</v>
      </c>
      <c r="E4" s="6" t="s">
        <v>383</v>
      </c>
      <c r="F4" s="6" t="s">
        <v>384</v>
      </c>
      <c r="G4" s="6" t="s">
        <v>385</v>
      </c>
      <c r="H4" s="6" t="s">
        <v>386</v>
      </c>
      <c r="I4" s="6" t="s">
        <v>387</v>
      </c>
      <c r="J4" s="6" t="s">
        <v>388</v>
      </c>
      <c r="K4" s="6" t="s">
        <v>389</v>
      </c>
      <c r="L4" s="6" t="s">
        <v>390</v>
      </c>
      <c r="M4" s="6" t="s">
        <v>391</v>
      </c>
      <c r="N4" s="6" t="s">
        <v>392</v>
      </c>
      <c r="O4" s="6" t="s">
        <v>266</v>
      </c>
      <c r="P4" s="6" t="s">
        <v>393</v>
      </c>
      <c r="Q4" s="6" t="s">
        <v>394</v>
      </c>
      <c r="R4" s="6" t="s">
        <v>395</v>
      </c>
    </row>
    <row r="5" customFormat="false" ht="147.75" hidden="false" customHeight="true" outlineLevel="0" collapsed="false">
      <c r="A5" s="8" t="s">
        <v>396</v>
      </c>
      <c r="B5" s="8" t="s">
        <v>397</v>
      </c>
      <c r="C5" s="8" t="s">
        <v>398</v>
      </c>
      <c r="D5" s="8" t="s">
        <v>399</v>
      </c>
      <c r="E5" s="8" t="s">
        <v>400</v>
      </c>
      <c r="F5" s="8" t="s">
        <v>401</v>
      </c>
      <c r="G5" s="54" t="s">
        <v>402</v>
      </c>
      <c r="H5" s="54" t="s">
        <v>402</v>
      </c>
      <c r="I5" s="54" t="s">
        <v>402</v>
      </c>
      <c r="J5" s="54" t="s">
        <v>403</v>
      </c>
      <c r="K5" s="54" t="s">
        <v>403</v>
      </c>
      <c r="L5" s="54" t="s">
        <v>403</v>
      </c>
      <c r="M5" s="8" t="s">
        <v>404</v>
      </c>
      <c r="N5" s="8" t="s">
        <v>405</v>
      </c>
      <c r="O5" s="8" t="s">
        <v>406</v>
      </c>
      <c r="P5" s="8" t="s">
        <v>407</v>
      </c>
      <c r="Q5" s="8" t="s">
        <v>408</v>
      </c>
      <c r="R5" s="8" t="s">
        <v>409</v>
      </c>
    </row>
    <row r="6" customFormat="false" ht="122.25" hidden="false" customHeight="true" outlineLevel="0" collapsed="false">
      <c r="A6" s="10" t="s">
        <v>410</v>
      </c>
      <c r="B6" s="10" t="s">
        <v>411</v>
      </c>
      <c r="C6" s="10" t="s">
        <v>412</v>
      </c>
      <c r="D6" s="10" t="s">
        <v>413</v>
      </c>
      <c r="E6" s="10" t="s">
        <v>414</v>
      </c>
      <c r="F6" s="10" t="s">
        <v>415</v>
      </c>
      <c r="G6" s="55" t="s">
        <v>402</v>
      </c>
      <c r="H6" s="55" t="s">
        <v>402</v>
      </c>
      <c r="I6" s="55" t="s">
        <v>402</v>
      </c>
      <c r="J6" s="55" t="s">
        <v>403</v>
      </c>
      <c r="K6" s="55" t="s">
        <v>403</v>
      </c>
      <c r="L6" s="55" t="s">
        <v>403</v>
      </c>
      <c r="M6" s="10" t="s">
        <v>416</v>
      </c>
      <c r="N6" s="10" t="s">
        <v>417</v>
      </c>
      <c r="O6" s="10" t="s">
        <v>418</v>
      </c>
      <c r="P6" s="10" t="s">
        <v>419</v>
      </c>
      <c r="Q6" s="10" t="s">
        <v>408</v>
      </c>
      <c r="R6" s="10" t="s">
        <v>420</v>
      </c>
    </row>
    <row r="7" customFormat="false" ht="84" hidden="false" customHeight="true" outlineLevel="0" collapsed="false">
      <c r="A7" s="8" t="s">
        <v>421</v>
      </c>
      <c r="B7" s="8" t="s">
        <v>422</v>
      </c>
      <c r="C7" s="8" t="s">
        <v>412</v>
      </c>
      <c r="D7" s="8" t="s">
        <v>423</v>
      </c>
      <c r="E7" s="8" t="s">
        <v>424</v>
      </c>
      <c r="F7" s="8" t="s">
        <v>425</v>
      </c>
      <c r="G7" s="54" t="s">
        <v>402</v>
      </c>
      <c r="H7" s="54" t="s">
        <v>403</v>
      </c>
      <c r="I7" s="54" t="s">
        <v>402</v>
      </c>
      <c r="J7" s="54" t="s">
        <v>403</v>
      </c>
      <c r="K7" s="54" t="s">
        <v>402</v>
      </c>
      <c r="L7" s="54" t="s">
        <v>403</v>
      </c>
      <c r="M7" s="8" t="s">
        <v>426</v>
      </c>
      <c r="N7" s="8" t="s">
        <v>427</v>
      </c>
      <c r="O7" s="8" t="s">
        <v>406</v>
      </c>
      <c r="P7" s="8" t="s">
        <v>428</v>
      </c>
      <c r="Q7" s="8" t="s">
        <v>408</v>
      </c>
      <c r="R7" s="8" t="s">
        <v>429</v>
      </c>
    </row>
    <row r="8" customFormat="false" ht="109.5" hidden="false" customHeight="true" outlineLevel="0" collapsed="false">
      <c r="A8" s="10" t="s">
        <v>430</v>
      </c>
      <c r="B8" s="10" t="s">
        <v>431</v>
      </c>
      <c r="C8" s="10" t="s">
        <v>412</v>
      </c>
      <c r="D8" s="10" t="s">
        <v>432</v>
      </c>
      <c r="E8" s="10" t="s">
        <v>433</v>
      </c>
      <c r="F8" s="10" t="s">
        <v>434</v>
      </c>
      <c r="G8" s="55" t="s">
        <v>402</v>
      </c>
      <c r="H8" s="55" t="s">
        <v>403</v>
      </c>
      <c r="I8" s="55" t="s">
        <v>402</v>
      </c>
      <c r="J8" s="55" t="s">
        <v>403</v>
      </c>
      <c r="K8" s="55" t="s">
        <v>402</v>
      </c>
      <c r="L8" s="55" t="s">
        <v>403</v>
      </c>
      <c r="M8" s="10" t="s">
        <v>435</v>
      </c>
      <c r="N8" s="10" t="s">
        <v>436</v>
      </c>
      <c r="O8" s="10" t="s">
        <v>406</v>
      </c>
      <c r="P8" s="10" t="s">
        <v>407</v>
      </c>
      <c r="Q8" s="10" t="s">
        <v>408</v>
      </c>
      <c r="R8" s="10" t="s">
        <v>437</v>
      </c>
    </row>
    <row r="9" customFormat="false" ht="109.5" hidden="false" customHeight="true" outlineLevel="0" collapsed="false">
      <c r="A9" s="8" t="s">
        <v>438</v>
      </c>
      <c r="B9" s="8" t="s">
        <v>439</v>
      </c>
      <c r="C9" s="8" t="s">
        <v>440</v>
      </c>
      <c r="D9" s="8" t="s">
        <v>441</v>
      </c>
      <c r="E9" s="8" t="s">
        <v>442</v>
      </c>
      <c r="F9" s="8" t="s">
        <v>443</v>
      </c>
      <c r="G9" s="54" t="s">
        <v>442</v>
      </c>
      <c r="H9" s="54" t="s">
        <v>442</v>
      </c>
      <c r="I9" s="54" t="s">
        <v>444</v>
      </c>
      <c r="J9" s="54" t="s">
        <v>442</v>
      </c>
      <c r="K9" s="54" t="s">
        <v>442</v>
      </c>
      <c r="L9" s="54" t="s">
        <v>442</v>
      </c>
      <c r="M9" s="8" t="s">
        <v>445</v>
      </c>
      <c r="N9" s="8" t="s">
        <v>446</v>
      </c>
      <c r="O9" s="8" t="s">
        <v>447</v>
      </c>
      <c r="P9" s="8" t="s">
        <v>419</v>
      </c>
      <c r="Q9" s="8" t="s">
        <v>408</v>
      </c>
      <c r="R9" s="8" t="s">
        <v>448</v>
      </c>
    </row>
    <row r="10" customFormat="false" ht="71.25" hidden="false" customHeight="true" outlineLevel="0" collapsed="false">
      <c r="A10" s="10" t="s">
        <v>449</v>
      </c>
      <c r="B10" s="10" t="s">
        <v>450</v>
      </c>
      <c r="C10" s="10" t="s">
        <v>451</v>
      </c>
      <c r="D10" s="10" t="s">
        <v>452</v>
      </c>
      <c r="E10" s="10" t="s">
        <v>453</v>
      </c>
      <c r="F10" s="10" t="s">
        <v>454</v>
      </c>
      <c r="G10" s="55" t="s">
        <v>402</v>
      </c>
      <c r="H10" s="55" t="s">
        <v>402</v>
      </c>
      <c r="I10" s="55" t="s">
        <v>455</v>
      </c>
      <c r="J10" s="55" t="s">
        <v>455</v>
      </c>
      <c r="K10" s="55" t="s">
        <v>455</v>
      </c>
      <c r="L10" s="55" t="s">
        <v>403</v>
      </c>
      <c r="M10" s="10" t="s">
        <v>456</v>
      </c>
      <c r="N10" s="10" t="s">
        <v>457</v>
      </c>
      <c r="O10" s="10" t="s">
        <v>458</v>
      </c>
      <c r="P10" s="10" t="s">
        <v>459</v>
      </c>
      <c r="Q10" s="10" t="s">
        <v>408</v>
      </c>
      <c r="R10" s="10" t="s">
        <v>460</v>
      </c>
    </row>
    <row r="11" customFormat="false" ht="45.75" hidden="false" customHeight="true" outlineLevel="0" collapsed="false">
      <c r="A11" s="8" t="s">
        <v>461</v>
      </c>
      <c r="B11" s="8" t="s">
        <v>462</v>
      </c>
      <c r="C11" s="8" t="s">
        <v>451</v>
      </c>
      <c r="D11" s="8" t="s">
        <v>463</v>
      </c>
      <c r="E11" s="8" t="s">
        <v>403</v>
      </c>
      <c r="F11" s="8" t="s">
        <v>464</v>
      </c>
      <c r="G11" s="54" t="s">
        <v>402</v>
      </c>
      <c r="H11" s="54" t="s">
        <v>455</v>
      </c>
      <c r="I11" s="54" t="s">
        <v>455</v>
      </c>
      <c r="J11" s="54" t="s">
        <v>455</v>
      </c>
      <c r="K11" s="54" t="s">
        <v>455</v>
      </c>
      <c r="L11" s="54" t="s">
        <v>403</v>
      </c>
      <c r="M11" s="8" t="s">
        <v>465</v>
      </c>
      <c r="N11" s="8" t="s">
        <v>466</v>
      </c>
      <c r="O11" s="8" t="s">
        <v>467</v>
      </c>
      <c r="P11" s="8" t="s">
        <v>468</v>
      </c>
      <c r="Q11" s="8" t="s">
        <v>408</v>
      </c>
      <c r="R11" s="8" t="s">
        <v>469</v>
      </c>
    </row>
    <row r="12" customFormat="false" ht="71.25" hidden="false" customHeight="true" outlineLevel="0" collapsed="false">
      <c r="A12" s="10" t="s">
        <v>470</v>
      </c>
      <c r="B12" s="10" t="s">
        <v>471</v>
      </c>
      <c r="C12" s="10" t="s">
        <v>451</v>
      </c>
      <c r="D12" s="10" t="s">
        <v>472</v>
      </c>
      <c r="E12" s="10" t="s">
        <v>473</v>
      </c>
      <c r="F12" s="10" t="s">
        <v>474</v>
      </c>
      <c r="G12" s="55" t="s">
        <v>402</v>
      </c>
      <c r="H12" s="55" t="s">
        <v>402</v>
      </c>
      <c r="I12" s="55" t="s">
        <v>475</v>
      </c>
      <c r="J12" s="55" t="s">
        <v>455</v>
      </c>
      <c r="K12" s="55" t="s">
        <v>455</v>
      </c>
      <c r="L12" s="55" t="s">
        <v>403</v>
      </c>
      <c r="M12" s="10" t="s">
        <v>476</v>
      </c>
      <c r="N12" s="10" t="s">
        <v>477</v>
      </c>
      <c r="O12" s="10" t="s">
        <v>406</v>
      </c>
      <c r="P12" s="10" t="s">
        <v>407</v>
      </c>
      <c r="Q12" s="10" t="s">
        <v>408</v>
      </c>
      <c r="R12" s="10" t="s">
        <v>478</v>
      </c>
    </row>
    <row r="13" customFormat="false" ht="45.75" hidden="false" customHeight="true" outlineLevel="0" collapsed="false">
      <c r="A13" s="8" t="s">
        <v>479</v>
      </c>
      <c r="B13" s="8" t="s">
        <v>480</v>
      </c>
      <c r="C13" s="8" t="s">
        <v>451</v>
      </c>
      <c r="D13" s="8" t="s">
        <v>481</v>
      </c>
      <c r="E13" s="8" t="s">
        <v>473</v>
      </c>
      <c r="F13" s="8" t="s">
        <v>482</v>
      </c>
      <c r="G13" s="54" t="s">
        <v>402</v>
      </c>
      <c r="H13" s="54" t="s">
        <v>403</v>
      </c>
      <c r="I13" s="54" t="s">
        <v>455</v>
      </c>
      <c r="J13" s="54" t="s">
        <v>455</v>
      </c>
      <c r="K13" s="54" t="s">
        <v>455</v>
      </c>
      <c r="L13" s="54" t="s">
        <v>403</v>
      </c>
      <c r="M13" s="8" t="s">
        <v>483</v>
      </c>
      <c r="N13" s="8" t="s">
        <v>484</v>
      </c>
      <c r="O13" s="8" t="s">
        <v>406</v>
      </c>
      <c r="P13" s="8" t="s">
        <v>407</v>
      </c>
      <c r="Q13" s="8" t="s">
        <v>408</v>
      </c>
      <c r="R13" s="8" t="s">
        <v>485</v>
      </c>
    </row>
    <row r="14" customFormat="false" ht="122.25" hidden="false" customHeight="true" outlineLevel="0" collapsed="false">
      <c r="A14" s="10" t="s">
        <v>486</v>
      </c>
      <c r="B14" s="10" t="s">
        <v>288</v>
      </c>
      <c r="C14" s="10" t="s">
        <v>487</v>
      </c>
      <c r="D14" s="10" t="s">
        <v>488</v>
      </c>
      <c r="E14" s="10" t="s">
        <v>489</v>
      </c>
      <c r="F14" s="10" t="s">
        <v>490</v>
      </c>
      <c r="G14" s="55" t="s">
        <v>402</v>
      </c>
      <c r="H14" s="55" t="s">
        <v>403</v>
      </c>
      <c r="I14" s="55" t="s">
        <v>403</v>
      </c>
      <c r="J14" s="55" t="s">
        <v>403</v>
      </c>
      <c r="K14" s="55" t="s">
        <v>403</v>
      </c>
      <c r="L14" s="55" t="s">
        <v>403</v>
      </c>
      <c r="M14" s="10" t="s">
        <v>491</v>
      </c>
      <c r="N14" s="10" t="s">
        <v>492</v>
      </c>
      <c r="O14" s="10" t="s">
        <v>493</v>
      </c>
      <c r="P14" s="10" t="s">
        <v>419</v>
      </c>
      <c r="Q14" s="10" t="s">
        <v>408</v>
      </c>
      <c r="R14" s="10" t="s">
        <v>494</v>
      </c>
    </row>
    <row r="15" customFormat="false" ht="84" hidden="false" customHeight="true" outlineLevel="0" collapsed="false">
      <c r="A15" s="8" t="s">
        <v>495</v>
      </c>
      <c r="B15" s="8" t="s">
        <v>496</v>
      </c>
      <c r="C15" s="8" t="s">
        <v>497</v>
      </c>
      <c r="D15" s="8" t="s">
        <v>498</v>
      </c>
      <c r="E15" s="8" t="s">
        <v>285</v>
      </c>
      <c r="F15" s="8" t="s">
        <v>499</v>
      </c>
      <c r="G15" s="54" t="s">
        <v>442</v>
      </c>
      <c r="H15" s="54" t="s">
        <v>442</v>
      </c>
      <c r="I15" s="54" t="s">
        <v>442</v>
      </c>
      <c r="J15" s="54" t="s">
        <v>442</v>
      </c>
      <c r="K15" s="54" t="s">
        <v>442</v>
      </c>
      <c r="L15" s="54" t="s">
        <v>402</v>
      </c>
      <c r="M15" s="8" t="s">
        <v>500</v>
      </c>
      <c r="N15" s="8" t="s">
        <v>501</v>
      </c>
      <c r="O15" s="8" t="s">
        <v>502</v>
      </c>
      <c r="P15" s="8" t="s">
        <v>503</v>
      </c>
      <c r="Q15" s="8" t="s">
        <v>408</v>
      </c>
      <c r="R15" s="8" t="s">
        <v>504</v>
      </c>
    </row>
    <row r="16" customFormat="false" ht="84" hidden="false" customHeight="true" outlineLevel="0" collapsed="false">
      <c r="A16" s="10" t="s">
        <v>505</v>
      </c>
      <c r="B16" s="10" t="s">
        <v>506</v>
      </c>
      <c r="C16" s="10" t="s">
        <v>507</v>
      </c>
      <c r="D16" s="10" t="s">
        <v>508</v>
      </c>
      <c r="E16" s="10" t="s">
        <v>403</v>
      </c>
      <c r="F16" s="10" t="s">
        <v>509</v>
      </c>
      <c r="G16" s="55" t="s">
        <v>442</v>
      </c>
      <c r="H16" s="55" t="s">
        <v>442</v>
      </c>
      <c r="I16" s="55" t="s">
        <v>442</v>
      </c>
      <c r="J16" s="55" t="s">
        <v>442</v>
      </c>
      <c r="K16" s="55" t="s">
        <v>442</v>
      </c>
      <c r="L16" s="55" t="s">
        <v>403</v>
      </c>
      <c r="M16" s="10" t="s">
        <v>510</v>
      </c>
      <c r="N16" s="10" t="s">
        <v>511</v>
      </c>
      <c r="O16" s="10" t="s">
        <v>512</v>
      </c>
      <c r="P16" s="10" t="s">
        <v>468</v>
      </c>
      <c r="Q16" s="10" t="s">
        <v>408</v>
      </c>
      <c r="R16" s="10" t="s">
        <v>513</v>
      </c>
    </row>
    <row r="17" customFormat="false" ht="71.25" hidden="false" customHeight="true" outlineLevel="0" collapsed="false">
      <c r="A17" s="8" t="s">
        <v>514</v>
      </c>
      <c r="B17" s="8" t="s">
        <v>515</v>
      </c>
      <c r="C17" s="8" t="s">
        <v>507</v>
      </c>
      <c r="D17" s="8" t="s">
        <v>516</v>
      </c>
      <c r="E17" s="8" t="s">
        <v>403</v>
      </c>
      <c r="F17" s="8" t="s">
        <v>517</v>
      </c>
      <c r="G17" s="54" t="s">
        <v>442</v>
      </c>
      <c r="H17" s="54" t="s">
        <v>442</v>
      </c>
      <c r="I17" s="54" t="s">
        <v>442</v>
      </c>
      <c r="J17" s="54" t="s">
        <v>442</v>
      </c>
      <c r="K17" s="54" t="s">
        <v>442</v>
      </c>
      <c r="L17" s="54" t="s">
        <v>403</v>
      </c>
      <c r="M17" s="8" t="s">
        <v>518</v>
      </c>
      <c r="N17" s="8" t="s">
        <v>519</v>
      </c>
      <c r="O17" s="8" t="s">
        <v>520</v>
      </c>
      <c r="P17" s="8" t="s">
        <v>468</v>
      </c>
      <c r="Q17" s="8" t="s">
        <v>408</v>
      </c>
      <c r="R17" s="8" t="s">
        <v>521</v>
      </c>
    </row>
    <row r="18" customFormat="false" ht="58.5" hidden="false" customHeight="true" outlineLevel="0" collapsed="false">
      <c r="A18" s="10" t="s">
        <v>522</v>
      </c>
      <c r="B18" s="10" t="s">
        <v>523</v>
      </c>
      <c r="C18" s="10" t="s">
        <v>507</v>
      </c>
      <c r="D18" s="10" t="s">
        <v>524</v>
      </c>
      <c r="E18" s="10" t="s">
        <v>403</v>
      </c>
      <c r="F18" s="10" t="s">
        <v>509</v>
      </c>
      <c r="G18" s="55" t="s">
        <v>442</v>
      </c>
      <c r="H18" s="55" t="s">
        <v>442</v>
      </c>
      <c r="I18" s="55" t="s">
        <v>442</v>
      </c>
      <c r="J18" s="55" t="s">
        <v>442</v>
      </c>
      <c r="K18" s="55" t="s">
        <v>442</v>
      </c>
      <c r="L18" s="55" t="s">
        <v>402</v>
      </c>
      <c r="M18" s="10" t="s">
        <v>525</v>
      </c>
      <c r="N18" s="10" t="s">
        <v>526</v>
      </c>
      <c r="O18" s="10" t="s">
        <v>512</v>
      </c>
      <c r="P18" s="10" t="s">
        <v>468</v>
      </c>
      <c r="Q18" s="10" t="s">
        <v>408</v>
      </c>
      <c r="R18" s="10" t="s">
        <v>527</v>
      </c>
    </row>
    <row r="19" customFormat="false" ht="33" hidden="false" customHeight="true" outlineLevel="0" collapsed="false">
      <c r="A19" s="8" t="s">
        <v>528</v>
      </c>
      <c r="B19" s="8" t="s">
        <v>529</v>
      </c>
      <c r="C19" s="8" t="s">
        <v>507</v>
      </c>
      <c r="D19" s="8" t="s">
        <v>530</v>
      </c>
      <c r="E19" s="8" t="s">
        <v>403</v>
      </c>
      <c r="F19" s="8" t="s">
        <v>509</v>
      </c>
      <c r="G19" s="54" t="s">
        <v>442</v>
      </c>
      <c r="H19" s="54" t="s">
        <v>442</v>
      </c>
      <c r="I19" s="54" t="s">
        <v>442</v>
      </c>
      <c r="J19" s="54" t="s">
        <v>442</v>
      </c>
      <c r="K19" s="54" t="s">
        <v>442</v>
      </c>
      <c r="L19" s="54" t="s">
        <v>402</v>
      </c>
      <c r="M19" s="8" t="s">
        <v>531</v>
      </c>
      <c r="N19" s="8" t="s">
        <v>532</v>
      </c>
      <c r="O19" s="8" t="s">
        <v>533</v>
      </c>
      <c r="P19" s="8" t="s">
        <v>468</v>
      </c>
      <c r="Q19" s="8" t="s">
        <v>408</v>
      </c>
      <c r="R19" s="8" t="s">
        <v>534</v>
      </c>
    </row>
    <row r="20" customFormat="false" ht="71.25" hidden="false" customHeight="true" outlineLevel="0" collapsed="false">
      <c r="A20" s="10" t="s">
        <v>535</v>
      </c>
      <c r="B20" s="10" t="s">
        <v>536</v>
      </c>
      <c r="C20" s="10" t="s">
        <v>537</v>
      </c>
      <c r="D20" s="10" t="s">
        <v>538</v>
      </c>
      <c r="E20" s="10" t="s">
        <v>442</v>
      </c>
      <c r="F20" s="10" t="s">
        <v>539</v>
      </c>
      <c r="G20" s="55" t="s">
        <v>402</v>
      </c>
      <c r="H20" s="55" t="s">
        <v>402</v>
      </c>
      <c r="I20" s="55" t="s">
        <v>402</v>
      </c>
      <c r="J20" s="55" t="s">
        <v>402</v>
      </c>
      <c r="K20" s="55" t="s">
        <v>402</v>
      </c>
      <c r="L20" s="55" t="s">
        <v>402</v>
      </c>
      <c r="M20" s="10" t="s">
        <v>540</v>
      </c>
      <c r="N20" s="10"/>
      <c r="O20" s="10" t="s">
        <v>541</v>
      </c>
      <c r="P20" s="10" t="s">
        <v>407</v>
      </c>
      <c r="Q20" s="10" t="s">
        <v>408</v>
      </c>
      <c r="R20" s="10" t="s">
        <v>542</v>
      </c>
    </row>
    <row r="22" customFormat="false" ht="24" hidden="false" customHeight="true" outlineLevel="0" collapsed="false">
      <c r="A22" s="11" t="s">
        <v>543</v>
      </c>
      <c r="B22" s="12"/>
      <c r="C22" s="12"/>
      <c r="D22" s="12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customFormat="false" ht="27.75" hidden="false" customHeight="true" outlineLevel="0" collapsed="false">
      <c r="A23" s="17"/>
      <c r="B23" s="6" t="s">
        <v>30</v>
      </c>
      <c r="C23" s="6" t="s">
        <v>544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customFormat="false" ht="20.25" hidden="false" customHeight="true" outlineLevel="0" collapsed="false">
      <c r="A24" s="56"/>
      <c r="B24" s="8" t="s">
        <v>545</v>
      </c>
      <c r="C24" s="8" t="n">
        <f aca="false">COUNTA(A5:A20)-COUNTIF(A5:A20,"E00")</f>
        <v>15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customFormat="false" ht="20.25" hidden="false" customHeight="true" outlineLevel="0" collapsed="false">
      <c r="A25" s="56"/>
      <c r="B25" s="10" t="s">
        <v>546</v>
      </c>
      <c r="C25" s="10" t="n">
        <f aca="false">COUNTIF(C5:C20,"Direct*")</f>
        <v>4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customFormat="false" ht="20.25" hidden="false" customHeight="true" outlineLevel="0" collapsed="false">
      <c r="A26" s="56"/>
      <c r="B26" s="8" t="s">
        <v>547</v>
      </c>
      <c r="C26" s="8" t="n">
        <f aca="false">COUNTIF(C5:C20,"Indirect*")</f>
        <v>5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customFormat="false" ht="33" hidden="false" customHeight="true" outlineLevel="0" collapsed="false">
      <c r="A27" s="56"/>
      <c r="B27" s="10" t="s">
        <v>548</v>
      </c>
      <c r="C27" s="10" t="n">
        <f aca="false">COUNTIF(P5:P20,"Low*")</f>
        <v>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customFormat="false" ht="33" hidden="false" customHeight="true" outlineLevel="0" collapsed="false">
      <c r="A28" s="56"/>
      <c r="B28" s="8" t="s">
        <v>549</v>
      </c>
      <c r="C28" s="8" t="n">
        <f aca="false">COUNTIFS(I5:I20,"Y",A5:A20,"&lt;&gt;E00")</f>
        <v>4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customFormat="false" ht="33" hidden="false" customHeight="true" outlineLevel="0" collapsed="false">
      <c r="A29" s="56"/>
      <c r="B29" s="10" t="s">
        <v>550</v>
      </c>
      <c r="C29" s="10" t="n">
        <f aca="false">COUNTIFS(K5:K20,"Y",A5:A20,"&lt;&gt;E00")</f>
        <v>2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</sheetData>
  <autoFilter ref="A4:R20"/>
  <mergeCells count="1">
    <mergeCell ref="A2:R2"/>
  </mergeCells>
  <conditionalFormatting sqref="G5:L20">
    <cfRule type="cellIs" priority="2" operator="equal" aboveAverage="0" equalAverage="0" bottom="0" percent="0" rank="0" text="" dxfId="2">
      <formula>"Y"</formula>
    </cfRule>
    <cfRule type="cellIs" priority="3" operator="equal" aboveAverage="0" equalAverage="0" bottom="0" percent="0" rank="0" text="" dxfId="1">
      <formula>"N"</formula>
    </cfRule>
    <cfRule type="cellIs" priority="4" operator="equal" aboveAverage="0" equalAverage="0" bottom="0" percent="0" rank="0" text="" dxfId="12">
      <formula>"?"</formula>
    </cfRule>
  </conditionalFormatting>
  <conditionalFormatting sqref="P5:P20">
    <cfRule type="expression" priority="5" aboveAverage="0" equalAverage="0" bottom="0" percent="0" rank="0" text="" dxfId="0">
      <formula>LEFT($P5,3)="Low"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&amp;K64748bEDGE.MEM · GTM Pricing&amp;C&amp;8 &amp;K64748b&amp;A&amp;R&amp;8 &amp;K64748bPage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tru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30"/>
    <col collapsed="false" customWidth="true" hidden="false" outlineLevel="0" max="7" min="7" style="1" width="24"/>
    <col collapsed="false" customWidth="true" hidden="false" outlineLevel="0" max="8" min="8" style="1" width="26"/>
    <col collapsed="false" customWidth="true" hidden="false" outlineLevel="0" max="9" min="9" style="1" width="60"/>
  </cols>
  <sheetData>
    <row r="1" customFormat="false" ht="36" hidden="false" customHeight="true" outlineLevel="0" collapsed="false">
      <c r="A1" s="2" t="s">
        <v>22</v>
      </c>
      <c r="B1" s="3"/>
      <c r="C1" s="3"/>
      <c r="D1" s="3"/>
      <c r="E1" s="3"/>
      <c r="F1" s="3"/>
      <c r="G1" s="3"/>
      <c r="H1" s="3"/>
      <c r="I1" s="3"/>
    </row>
    <row r="2" customFormat="false" ht="24.75" hidden="false" customHeight="true" outlineLevel="0" collapsed="false">
      <c r="A2" s="4" t="s">
        <v>551</v>
      </c>
      <c r="B2" s="4"/>
      <c r="C2" s="4"/>
      <c r="D2" s="4"/>
      <c r="E2" s="4"/>
      <c r="F2" s="4"/>
      <c r="G2" s="4"/>
      <c r="H2" s="4"/>
      <c r="I2" s="4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</row>
    <row r="4" customFormat="false" ht="24" hidden="false" customHeight="true" outlineLevel="0" collapsed="false">
      <c r="A4" s="11" t="s">
        <v>552</v>
      </c>
      <c r="B4" s="12"/>
      <c r="C4" s="12"/>
      <c r="D4" s="12"/>
      <c r="E4" s="12"/>
      <c r="F4" s="12"/>
      <c r="G4" s="12"/>
      <c r="H4" s="12"/>
      <c r="I4" s="12"/>
    </row>
    <row r="5" customFormat="false" ht="27.75" hidden="false" customHeight="true" outlineLevel="0" collapsed="false">
      <c r="A5" s="6" t="s">
        <v>57</v>
      </c>
      <c r="B5" s="6" t="s">
        <v>553</v>
      </c>
      <c r="C5" s="6" t="s">
        <v>31</v>
      </c>
      <c r="D5" s="6" t="s">
        <v>265</v>
      </c>
      <c r="E5" s="6" t="s">
        <v>111</v>
      </c>
      <c r="F5" s="6" t="s">
        <v>554</v>
      </c>
      <c r="G5" s="6" t="s">
        <v>555</v>
      </c>
      <c r="H5" s="6" t="s">
        <v>556</v>
      </c>
      <c r="I5" s="6" t="s">
        <v>202</v>
      </c>
    </row>
    <row r="6" customFormat="false" ht="33" hidden="false" customHeight="true" outlineLevel="0" collapsed="false">
      <c r="A6" s="8" t="s">
        <v>557</v>
      </c>
      <c r="B6" s="8" t="s">
        <v>558</v>
      </c>
      <c r="C6" s="21" t="s">
        <v>559</v>
      </c>
      <c r="D6" s="8" t="s">
        <v>560</v>
      </c>
      <c r="E6" s="8" t="s">
        <v>561</v>
      </c>
      <c r="F6" s="8" t="s">
        <v>562</v>
      </c>
      <c r="G6" s="8" t="s">
        <v>28</v>
      </c>
      <c r="H6" s="8" t="s">
        <v>563</v>
      </c>
      <c r="I6" s="8" t="s">
        <v>564</v>
      </c>
    </row>
    <row r="7" customFormat="false" ht="33" hidden="false" customHeight="true" outlineLevel="0" collapsed="false">
      <c r="A7" s="10" t="s">
        <v>565</v>
      </c>
      <c r="B7" s="10" t="s">
        <v>311</v>
      </c>
      <c r="C7" s="57"/>
      <c r="D7" s="10" t="s">
        <v>349</v>
      </c>
      <c r="E7" s="10" t="s">
        <v>75</v>
      </c>
      <c r="F7" s="10" t="s">
        <v>207</v>
      </c>
      <c r="G7" s="10" t="s">
        <v>28</v>
      </c>
      <c r="H7" s="10" t="s">
        <v>566</v>
      </c>
      <c r="I7" s="10" t="s">
        <v>567</v>
      </c>
    </row>
    <row r="8" customFormat="false" ht="33" hidden="false" customHeight="true" outlineLevel="0" collapsed="false">
      <c r="A8" s="8" t="s">
        <v>568</v>
      </c>
      <c r="B8" s="8" t="s">
        <v>312</v>
      </c>
      <c r="C8" s="57"/>
      <c r="D8" s="8" t="s">
        <v>569</v>
      </c>
      <c r="E8" s="8" t="s">
        <v>75</v>
      </c>
      <c r="F8" s="8" t="s">
        <v>207</v>
      </c>
      <c r="G8" s="8" t="s">
        <v>28</v>
      </c>
      <c r="H8" s="8" t="s">
        <v>566</v>
      </c>
      <c r="I8" s="8" t="s">
        <v>570</v>
      </c>
    </row>
    <row r="9" customFormat="false" ht="33" hidden="false" customHeight="true" outlineLevel="0" collapsed="false">
      <c r="A9" s="10" t="s">
        <v>571</v>
      </c>
      <c r="B9" s="10" t="s">
        <v>313</v>
      </c>
      <c r="C9" s="58"/>
      <c r="D9" s="10" t="s">
        <v>572</v>
      </c>
      <c r="E9" s="10" t="s">
        <v>75</v>
      </c>
      <c r="F9" s="10" t="s">
        <v>207</v>
      </c>
      <c r="G9" s="10" t="s">
        <v>28</v>
      </c>
      <c r="H9" s="10" t="s">
        <v>566</v>
      </c>
      <c r="I9" s="10" t="s">
        <v>573</v>
      </c>
    </row>
    <row r="10" customFormat="false" ht="33" hidden="false" customHeight="true" outlineLevel="0" collapsed="false">
      <c r="A10" s="8" t="s">
        <v>574</v>
      </c>
      <c r="B10" s="8" t="s">
        <v>314</v>
      </c>
      <c r="C10" s="57"/>
      <c r="D10" s="8" t="s">
        <v>575</v>
      </c>
      <c r="E10" s="8" t="s">
        <v>75</v>
      </c>
      <c r="F10" s="8" t="s">
        <v>207</v>
      </c>
      <c r="G10" s="8" t="s">
        <v>28</v>
      </c>
      <c r="H10" s="8" t="s">
        <v>566</v>
      </c>
      <c r="I10" s="8" t="s">
        <v>576</v>
      </c>
    </row>
    <row r="11" customFormat="false" ht="33" hidden="false" customHeight="true" outlineLevel="0" collapsed="false">
      <c r="A11" s="10" t="s">
        <v>577</v>
      </c>
      <c r="B11" s="10" t="s">
        <v>578</v>
      </c>
      <c r="C11" s="58"/>
      <c r="D11" s="10" t="s">
        <v>579</v>
      </c>
      <c r="E11" s="10" t="s">
        <v>75</v>
      </c>
      <c r="F11" s="10" t="s">
        <v>207</v>
      </c>
      <c r="G11" s="10" t="s">
        <v>28</v>
      </c>
      <c r="H11" s="10" t="s">
        <v>566</v>
      </c>
      <c r="I11" s="10" t="s">
        <v>580</v>
      </c>
    </row>
    <row r="12" customFormat="false" ht="33" hidden="false" customHeight="true" outlineLevel="0" collapsed="false">
      <c r="A12" s="8" t="s">
        <v>581</v>
      </c>
      <c r="B12" s="8" t="s">
        <v>582</v>
      </c>
      <c r="C12" s="58"/>
      <c r="D12" s="8" t="s">
        <v>583</v>
      </c>
      <c r="E12" s="8" t="s">
        <v>75</v>
      </c>
      <c r="F12" s="8" t="s">
        <v>207</v>
      </c>
      <c r="G12" s="8" t="s">
        <v>28</v>
      </c>
      <c r="H12" s="8" t="s">
        <v>566</v>
      </c>
      <c r="I12" s="8" t="s">
        <v>584</v>
      </c>
    </row>
    <row r="13" customFormat="false" ht="33" hidden="false" customHeight="true" outlineLevel="0" collapsed="false">
      <c r="A13" s="10" t="s">
        <v>585</v>
      </c>
      <c r="B13" s="10" t="s">
        <v>586</v>
      </c>
      <c r="C13" s="58"/>
      <c r="D13" s="10" t="s">
        <v>583</v>
      </c>
      <c r="E13" s="10" t="s">
        <v>75</v>
      </c>
      <c r="F13" s="10" t="s">
        <v>207</v>
      </c>
      <c r="G13" s="10" t="s">
        <v>28</v>
      </c>
      <c r="H13" s="10" t="s">
        <v>566</v>
      </c>
      <c r="I13" s="10"/>
    </row>
    <row r="14" customFormat="false" ht="33" hidden="false" customHeight="true" outlineLevel="0" collapsed="false">
      <c r="A14" s="8" t="s">
        <v>587</v>
      </c>
      <c r="B14" s="8" t="s">
        <v>588</v>
      </c>
      <c r="C14" s="58"/>
      <c r="D14" s="8" t="s">
        <v>583</v>
      </c>
      <c r="E14" s="8" t="s">
        <v>75</v>
      </c>
      <c r="F14" s="8" t="s">
        <v>207</v>
      </c>
      <c r="G14" s="8" t="s">
        <v>28</v>
      </c>
      <c r="H14" s="8" t="s">
        <v>566</v>
      </c>
      <c r="I14" s="8" t="s">
        <v>589</v>
      </c>
    </row>
    <row r="15" customFormat="false" ht="45.75" hidden="false" customHeight="true" outlineLevel="0" collapsed="false">
      <c r="A15" s="10" t="s">
        <v>396</v>
      </c>
      <c r="B15" s="10" t="s">
        <v>590</v>
      </c>
      <c r="C15" s="9" t="str">
        <f aca="false">IF(AND(NOT(ISBLANK(Pricing!$B$6)),COUNT($C$7:$C$11)=5,COUNT($C$12:$C$14)=3,ABS(SUM($C$12:$C$14)-1)&lt;0.0001,SUMPRODUCT(($C$12:$C$14&gt;0)*(1-ISNUMBER(Pricing!$F$12:$F$14)))=0),"Complete","INCOMPLETE")</f>
        <v>INCOMPLETE</v>
      </c>
      <c r="D15" s="10" t="s">
        <v>591</v>
      </c>
      <c r="E15" s="10" t="s">
        <v>592</v>
      </c>
      <c r="F15" s="10" t="s">
        <v>593</v>
      </c>
      <c r="G15" s="10" t="s">
        <v>28</v>
      </c>
      <c r="H15" s="10" t="s">
        <v>592</v>
      </c>
      <c r="I15" s="10" t="s">
        <v>594</v>
      </c>
    </row>
    <row r="16" customFormat="false" ht="20.25" hidden="false" customHeight="true" outlineLevel="0" collapsed="false">
      <c r="A16" s="8" t="s">
        <v>410</v>
      </c>
      <c r="B16" s="8" t="s">
        <v>595</v>
      </c>
      <c r="C16" s="59" t="n">
        <f aca="false">SUM($C$12:$C$14)</f>
        <v>0</v>
      </c>
      <c r="D16" s="8" t="s">
        <v>596</v>
      </c>
      <c r="E16" s="8" t="s">
        <v>592</v>
      </c>
      <c r="F16" s="8" t="s">
        <v>597</v>
      </c>
      <c r="G16" s="8" t="s">
        <v>28</v>
      </c>
      <c r="H16" s="8" t="s">
        <v>592</v>
      </c>
      <c r="I16" s="8" t="s">
        <v>598</v>
      </c>
    </row>
    <row r="17" customFormat="false" ht="20.25" hidden="false" customHeight="true" outlineLevel="0" collapsed="false">
      <c r="A17" s="10" t="s">
        <v>421</v>
      </c>
      <c r="B17" s="10" t="s">
        <v>35</v>
      </c>
      <c r="C17" s="10" t="n">
        <f aca="false">COUNTBLANK($C$7:$C$14)</f>
        <v>8</v>
      </c>
      <c r="D17" s="10" t="s">
        <v>599</v>
      </c>
      <c r="E17" s="10" t="s">
        <v>592</v>
      </c>
      <c r="F17" s="10" t="s">
        <v>597</v>
      </c>
      <c r="G17" s="10" t="s">
        <v>28</v>
      </c>
      <c r="H17" s="10" t="s">
        <v>592</v>
      </c>
      <c r="I17" s="10"/>
    </row>
    <row r="19" customFormat="false" ht="24" hidden="false" customHeight="true" outlineLevel="0" collapsed="false">
      <c r="A19" s="11" t="s">
        <v>600</v>
      </c>
      <c r="B19" s="12"/>
      <c r="C19" s="12"/>
      <c r="D19" s="12"/>
      <c r="E19" s="12"/>
      <c r="F19" s="12"/>
      <c r="G19" s="12"/>
      <c r="H19" s="12"/>
      <c r="I19" s="12"/>
    </row>
    <row r="20" customFormat="false" ht="27.75" hidden="false" customHeight="true" outlineLevel="0" collapsed="false">
      <c r="A20" s="6" t="s">
        <v>57</v>
      </c>
      <c r="B20" s="6" t="s">
        <v>250</v>
      </c>
      <c r="C20" s="6" t="s">
        <v>31</v>
      </c>
      <c r="D20" s="6" t="s">
        <v>265</v>
      </c>
      <c r="E20" s="6" t="s">
        <v>111</v>
      </c>
      <c r="F20" s="6" t="s">
        <v>554</v>
      </c>
      <c r="G20" s="6" t="s">
        <v>555</v>
      </c>
      <c r="H20" s="6" t="s">
        <v>556</v>
      </c>
      <c r="I20" s="6" t="s">
        <v>202</v>
      </c>
    </row>
    <row r="21" customFormat="false" ht="20.25" hidden="false" customHeight="true" outlineLevel="0" collapsed="false">
      <c r="A21" s="8" t="s">
        <v>601</v>
      </c>
      <c r="B21" s="8" t="s">
        <v>602</v>
      </c>
      <c r="C21" s="8" t="s">
        <v>603</v>
      </c>
      <c r="D21" s="8" t="s">
        <v>560</v>
      </c>
      <c r="E21" s="8" t="s">
        <v>604</v>
      </c>
      <c r="F21" s="8" t="s">
        <v>605</v>
      </c>
      <c r="G21" s="8" t="s">
        <v>606</v>
      </c>
      <c r="H21" s="8" t="s">
        <v>604</v>
      </c>
      <c r="I21" s="8"/>
    </row>
    <row r="22" customFormat="false" ht="96.75" hidden="false" customHeight="true" outlineLevel="0" collapsed="false">
      <c r="A22" s="10" t="s">
        <v>607</v>
      </c>
      <c r="B22" s="10" t="s">
        <v>608</v>
      </c>
      <c r="C22" s="10" t="s">
        <v>609</v>
      </c>
      <c r="D22" s="10" t="s">
        <v>560</v>
      </c>
      <c r="E22" s="10" t="s">
        <v>604</v>
      </c>
      <c r="F22" s="10" t="s">
        <v>605</v>
      </c>
      <c r="G22" s="10" t="s">
        <v>610</v>
      </c>
      <c r="H22" s="10" t="s">
        <v>604</v>
      </c>
      <c r="I22" s="10" t="s">
        <v>611</v>
      </c>
    </row>
    <row r="23" customFormat="false" ht="45.75" hidden="false" customHeight="true" outlineLevel="0" collapsed="false">
      <c r="A23" s="8" t="s">
        <v>612</v>
      </c>
      <c r="B23" s="8" t="s">
        <v>613</v>
      </c>
      <c r="C23" s="8" t="s">
        <v>614</v>
      </c>
      <c r="D23" s="8" t="s">
        <v>560</v>
      </c>
      <c r="E23" s="8" t="s">
        <v>604</v>
      </c>
      <c r="F23" s="8" t="s">
        <v>605</v>
      </c>
      <c r="G23" s="8" t="s">
        <v>615</v>
      </c>
      <c r="H23" s="8" t="s">
        <v>604</v>
      </c>
      <c r="I23" s="8" t="s">
        <v>616</v>
      </c>
    </row>
    <row r="24" customFormat="false" ht="33" hidden="false" customHeight="true" outlineLevel="0" collapsed="false">
      <c r="A24" s="10" t="s">
        <v>617</v>
      </c>
      <c r="B24" s="10" t="s">
        <v>618</v>
      </c>
      <c r="C24" s="10" t="s">
        <v>619</v>
      </c>
      <c r="D24" s="10" t="s">
        <v>560</v>
      </c>
      <c r="E24" s="10" t="s">
        <v>604</v>
      </c>
      <c r="F24" s="10" t="s">
        <v>605</v>
      </c>
      <c r="G24" s="10" t="s">
        <v>620</v>
      </c>
      <c r="H24" s="10" t="s">
        <v>604</v>
      </c>
      <c r="I24" s="10" t="s">
        <v>621</v>
      </c>
    </row>
    <row r="25" customFormat="false" ht="33" hidden="false" customHeight="true" outlineLevel="0" collapsed="false">
      <c r="A25" s="8" t="s">
        <v>622</v>
      </c>
      <c r="B25" s="8" t="s">
        <v>623</v>
      </c>
      <c r="C25" s="8" t="s">
        <v>619</v>
      </c>
      <c r="D25" s="8" t="s">
        <v>560</v>
      </c>
      <c r="E25" s="8" t="s">
        <v>604</v>
      </c>
      <c r="F25" s="8" t="s">
        <v>605</v>
      </c>
      <c r="G25" s="8" t="s">
        <v>620</v>
      </c>
      <c r="H25" s="8" t="s">
        <v>604</v>
      </c>
      <c r="I25" s="8"/>
    </row>
    <row r="26" customFormat="false" ht="33" hidden="false" customHeight="true" outlineLevel="0" collapsed="false">
      <c r="A26" s="10" t="s">
        <v>624</v>
      </c>
      <c r="B26" s="10" t="s">
        <v>625</v>
      </c>
      <c r="C26" s="10" t="n">
        <v>8</v>
      </c>
      <c r="D26" s="10" t="s">
        <v>626</v>
      </c>
      <c r="E26" s="10" t="s">
        <v>604</v>
      </c>
      <c r="F26" s="10" t="s">
        <v>605</v>
      </c>
      <c r="G26" s="10" t="s">
        <v>627</v>
      </c>
      <c r="H26" s="10" t="s">
        <v>604</v>
      </c>
      <c r="I26" s="10" t="s">
        <v>628</v>
      </c>
    </row>
    <row r="27" customFormat="false" ht="33" hidden="false" customHeight="true" outlineLevel="0" collapsed="false">
      <c r="A27" s="8" t="s">
        <v>629</v>
      </c>
      <c r="B27" s="8" t="s">
        <v>630</v>
      </c>
      <c r="C27" s="8" t="s">
        <v>176</v>
      </c>
      <c r="D27" s="8" t="s">
        <v>631</v>
      </c>
      <c r="E27" s="8" t="s">
        <v>604</v>
      </c>
      <c r="F27" s="8" t="s">
        <v>605</v>
      </c>
      <c r="G27" s="8" t="s">
        <v>632</v>
      </c>
      <c r="H27" s="8" t="s">
        <v>604</v>
      </c>
      <c r="I27" s="8" t="s">
        <v>633</v>
      </c>
    </row>
    <row r="28" customFormat="false" ht="33" hidden="false" customHeight="true" outlineLevel="0" collapsed="false">
      <c r="A28" s="10" t="s">
        <v>634</v>
      </c>
      <c r="B28" s="10" t="s">
        <v>635</v>
      </c>
      <c r="C28" s="10" t="s">
        <v>636</v>
      </c>
      <c r="D28" s="10" t="s">
        <v>631</v>
      </c>
      <c r="E28" s="10" t="s">
        <v>604</v>
      </c>
      <c r="F28" s="10" t="s">
        <v>605</v>
      </c>
      <c r="G28" s="10" t="s">
        <v>637</v>
      </c>
      <c r="H28" s="10" t="s">
        <v>604</v>
      </c>
      <c r="I28" s="10"/>
    </row>
    <row r="29" customFormat="false" ht="20.25" hidden="false" customHeight="true" outlineLevel="0" collapsed="false">
      <c r="A29" s="8" t="s">
        <v>638</v>
      </c>
      <c r="B29" s="8" t="s">
        <v>639</v>
      </c>
      <c r="C29" s="8" t="s">
        <v>640</v>
      </c>
      <c r="D29" s="8" t="s">
        <v>631</v>
      </c>
      <c r="E29" s="8" t="s">
        <v>604</v>
      </c>
      <c r="F29" s="8" t="s">
        <v>605</v>
      </c>
      <c r="G29" s="8" t="s">
        <v>641</v>
      </c>
      <c r="H29" s="8" t="s">
        <v>604</v>
      </c>
      <c r="I29" s="8" t="s">
        <v>642</v>
      </c>
    </row>
    <row r="30" customFormat="false" ht="33" hidden="false" customHeight="true" outlineLevel="0" collapsed="false">
      <c r="A30" s="10" t="s">
        <v>643</v>
      </c>
      <c r="B30" s="10" t="s">
        <v>644</v>
      </c>
      <c r="C30" s="10" t="s">
        <v>645</v>
      </c>
      <c r="D30" s="10" t="s">
        <v>646</v>
      </c>
      <c r="E30" s="10" t="s">
        <v>604</v>
      </c>
      <c r="F30" s="10" t="s">
        <v>605</v>
      </c>
      <c r="G30" s="10" t="s">
        <v>647</v>
      </c>
      <c r="H30" s="10" t="s">
        <v>604</v>
      </c>
      <c r="I30" s="10" t="s">
        <v>648</v>
      </c>
    </row>
    <row r="31" customFormat="false" ht="33" hidden="false" customHeight="true" outlineLevel="0" collapsed="false">
      <c r="A31" s="8" t="s">
        <v>649</v>
      </c>
      <c r="B31" s="8" t="s">
        <v>650</v>
      </c>
      <c r="C31" s="8" t="n">
        <v>0</v>
      </c>
      <c r="D31" s="8" t="s">
        <v>651</v>
      </c>
      <c r="E31" s="8" t="s">
        <v>604</v>
      </c>
      <c r="F31" s="8" t="s">
        <v>605</v>
      </c>
      <c r="G31" s="8" t="s">
        <v>647</v>
      </c>
      <c r="H31" s="8" t="s">
        <v>604</v>
      </c>
      <c r="I31" s="8" t="s">
        <v>652</v>
      </c>
    </row>
    <row r="32" customFormat="false" ht="20.25" hidden="false" customHeight="true" outlineLevel="0" collapsed="false">
      <c r="A32" s="10" t="s">
        <v>653</v>
      </c>
      <c r="B32" s="10" t="s">
        <v>654</v>
      </c>
      <c r="C32" s="10" t="s">
        <v>655</v>
      </c>
      <c r="D32" s="10" t="s">
        <v>560</v>
      </c>
      <c r="E32" s="10" t="s">
        <v>604</v>
      </c>
      <c r="F32" s="10" t="s">
        <v>656</v>
      </c>
      <c r="G32" s="10" t="s">
        <v>657</v>
      </c>
      <c r="H32" s="10" t="s">
        <v>604</v>
      </c>
      <c r="I32" s="10" t="s">
        <v>658</v>
      </c>
    </row>
    <row r="33" customFormat="false" ht="33" hidden="false" customHeight="true" outlineLevel="0" collapsed="false">
      <c r="A33" s="8" t="s">
        <v>659</v>
      </c>
      <c r="B33" s="8" t="s">
        <v>660</v>
      </c>
      <c r="C33" s="8" t="s">
        <v>661</v>
      </c>
      <c r="D33" s="8" t="s">
        <v>560</v>
      </c>
      <c r="E33" s="8" t="s">
        <v>604</v>
      </c>
      <c r="F33" s="8" t="s">
        <v>656</v>
      </c>
      <c r="G33" s="8" t="s">
        <v>662</v>
      </c>
      <c r="H33" s="8" t="s">
        <v>663</v>
      </c>
      <c r="I33" s="8" t="s">
        <v>664</v>
      </c>
    </row>
    <row r="34" customFormat="false" ht="33" hidden="false" customHeight="true" outlineLevel="0" collapsed="false">
      <c r="A34" s="10" t="s">
        <v>665</v>
      </c>
      <c r="B34" s="10" t="s">
        <v>666</v>
      </c>
      <c r="C34" s="24" t="n">
        <v>0</v>
      </c>
      <c r="D34" s="10" t="s">
        <v>270</v>
      </c>
      <c r="E34" s="10" t="s">
        <v>604</v>
      </c>
      <c r="F34" s="10" t="s">
        <v>656</v>
      </c>
      <c r="G34" s="10" t="s">
        <v>667</v>
      </c>
      <c r="H34" s="10" t="s">
        <v>668</v>
      </c>
      <c r="I34" s="10" t="s">
        <v>669</v>
      </c>
    </row>
    <row r="35" customFormat="false" ht="20.25" hidden="false" customHeight="true" outlineLevel="0" collapsed="false">
      <c r="A35" s="8" t="s">
        <v>670</v>
      </c>
      <c r="B35" s="8" t="s">
        <v>671</v>
      </c>
      <c r="C35" s="23" t="n">
        <v>4.99</v>
      </c>
      <c r="D35" s="8" t="s">
        <v>270</v>
      </c>
      <c r="E35" s="8" t="s">
        <v>604</v>
      </c>
      <c r="F35" s="8" t="s">
        <v>656</v>
      </c>
      <c r="G35" s="8" t="s">
        <v>667</v>
      </c>
      <c r="H35" s="8" t="s">
        <v>663</v>
      </c>
      <c r="I35" s="8" t="s">
        <v>672</v>
      </c>
    </row>
    <row r="36" customFormat="false" ht="20.25" hidden="false" customHeight="true" outlineLevel="0" collapsed="false">
      <c r="A36" s="10" t="s">
        <v>673</v>
      </c>
      <c r="B36" s="10" t="s">
        <v>674</v>
      </c>
      <c r="C36" s="24" t="n">
        <v>24.92</v>
      </c>
      <c r="D36" s="10" t="s">
        <v>270</v>
      </c>
      <c r="E36" s="10" t="s">
        <v>604</v>
      </c>
      <c r="F36" s="10" t="s">
        <v>656</v>
      </c>
      <c r="G36" s="10" t="s">
        <v>667</v>
      </c>
      <c r="H36" s="10" t="s">
        <v>663</v>
      </c>
      <c r="I36" s="10"/>
    </row>
    <row r="37" customFormat="false" ht="20.25" hidden="false" customHeight="true" outlineLevel="0" collapsed="false">
      <c r="A37" s="8" t="s">
        <v>675</v>
      </c>
      <c r="B37" s="8" t="s">
        <v>676</v>
      </c>
      <c r="C37" s="23" t="n">
        <v>416.58</v>
      </c>
      <c r="D37" s="8" t="s">
        <v>270</v>
      </c>
      <c r="E37" s="8" t="s">
        <v>604</v>
      </c>
      <c r="F37" s="8" t="s">
        <v>656</v>
      </c>
      <c r="G37" s="8" t="s">
        <v>667</v>
      </c>
      <c r="H37" s="8" t="s">
        <v>663</v>
      </c>
      <c r="I37" s="8" t="s">
        <v>677</v>
      </c>
    </row>
    <row r="38" customFormat="false" ht="33" hidden="false" customHeight="true" outlineLevel="0" collapsed="false">
      <c r="A38" s="10" t="s">
        <v>678</v>
      </c>
      <c r="B38" s="10" t="s">
        <v>679</v>
      </c>
      <c r="C38" s="10" t="s">
        <v>281</v>
      </c>
      <c r="D38" s="10" t="s">
        <v>680</v>
      </c>
      <c r="E38" s="10" t="s">
        <v>604</v>
      </c>
      <c r="F38" s="10" t="s">
        <v>656</v>
      </c>
      <c r="G38" s="10" t="s">
        <v>667</v>
      </c>
      <c r="H38" s="10" t="s">
        <v>663</v>
      </c>
      <c r="I38" s="10" t="s">
        <v>681</v>
      </c>
    </row>
    <row r="39" customFormat="false" ht="33" hidden="false" customHeight="true" outlineLevel="0" collapsed="false">
      <c r="A39" s="8" t="s">
        <v>682</v>
      </c>
      <c r="B39" s="8" t="s">
        <v>683</v>
      </c>
      <c r="C39" s="8" t="s">
        <v>684</v>
      </c>
      <c r="D39" s="8" t="s">
        <v>560</v>
      </c>
      <c r="E39" s="8" t="s">
        <v>604</v>
      </c>
      <c r="F39" s="8" t="s">
        <v>656</v>
      </c>
      <c r="G39" s="8" t="s">
        <v>667</v>
      </c>
      <c r="H39" s="8" t="s">
        <v>663</v>
      </c>
      <c r="I39" s="8" t="s">
        <v>685</v>
      </c>
    </row>
    <row r="40" customFormat="false" ht="58.5" hidden="false" customHeight="true" outlineLevel="0" collapsed="false">
      <c r="A40" s="10" t="s">
        <v>686</v>
      </c>
      <c r="B40" s="10" t="s">
        <v>687</v>
      </c>
      <c r="C40" s="10" t="s">
        <v>688</v>
      </c>
      <c r="D40" s="10" t="s">
        <v>560</v>
      </c>
      <c r="E40" s="10" t="s">
        <v>604</v>
      </c>
      <c r="F40" s="10" t="s">
        <v>656</v>
      </c>
      <c r="G40" s="10" t="s">
        <v>667</v>
      </c>
      <c r="H40" s="10" t="s">
        <v>689</v>
      </c>
      <c r="I40" s="10" t="s">
        <v>690</v>
      </c>
    </row>
    <row r="41" customFormat="false" ht="58.5" hidden="false" customHeight="true" outlineLevel="0" collapsed="false">
      <c r="A41" s="8" t="s">
        <v>691</v>
      </c>
      <c r="B41" s="8" t="s">
        <v>692</v>
      </c>
      <c r="C41" s="8" t="s">
        <v>693</v>
      </c>
      <c r="D41" s="8" t="s">
        <v>560</v>
      </c>
      <c r="E41" s="8" t="s">
        <v>604</v>
      </c>
      <c r="F41" s="8" t="s">
        <v>656</v>
      </c>
      <c r="G41" s="8" t="s">
        <v>694</v>
      </c>
      <c r="H41" s="8" t="s">
        <v>695</v>
      </c>
      <c r="I41" s="8" t="s">
        <v>696</v>
      </c>
    </row>
    <row r="42" customFormat="false" ht="33" hidden="false" customHeight="true" outlineLevel="0" collapsed="false">
      <c r="A42" s="10" t="s">
        <v>697</v>
      </c>
      <c r="B42" s="10" t="s">
        <v>698</v>
      </c>
      <c r="C42" s="10" t="s">
        <v>699</v>
      </c>
      <c r="D42" s="10" t="s">
        <v>560</v>
      </c>
      <c r="E42" s="10" t="s">
        <v>604</v>
      </c>
      <c r="F42" s="10" t="s">
        <v>656</v>
      </c>
      <c r="G42" s="10" t="s">
        <v>700</v>
      </c>
      <c r="H42" s="10" t="s">
        <v>701</v>
      </c>
      <c r="I42" s="10" t="s">
        <v>702</v>
      </c>
    </row>
    <row r="43" customFormat="false" ht="33" hidden="false" customHeight="true" outlineLevel="0" collapsed="false">
      <c r="A43" s="8" t="s">
        <v>703</v>
      </c>
      <c r="B43" s="8" t="s">
        <v>704</v>
      </c>
      <c r="C43" s="8" t="s">
        <v>75</v>
      </c>
      <c r="D43" s="8" t="s">
        <v>559</v>
      </c>
      <c r="E43" s="8" t="s">
        <v>75</v>
      </c>
      <c r="F43" s="8" t="s">
        <v>207</v>
      </c>
      <c r="G43" s="8" t="s">
        <v>28</v>
      </c>
      <c r="H43" s="8" t="s">
        <v>566</v>
      </c>
      <c r="I43" s="8" t="s">
        <v>705</v>
      </c>
    </row>
    <row r="44" customFormat="false" ht="33" hidden="false" customHeight="true" outlineLevel="0" collapsed="false">
      <c r="A44" s="10" t="s">
        <v>706</v>
      </c>
      <c r="B44" s="10" t="s">
        <v>707</v>
      </c>
      <c r="C44" s="10" t="s">
        <v>75</v>
      </c>
      <c r="D44" s="10" t="s">
        <v>559</v>
      </c>
      <c r="E44" s="10" t="s">
        <v>75</v>
      </c>
      <c r="F44" s="10" t="s">
        <v>207</v>
      </c>
      <c r="G44" s="10" t="s">
        <v>28</v>
      </c>
      <c r="H44" s="10" t="s">
        <v>566</v>
      </c>
      <c r="I44" s="10"/>
    </row>
    <row r="45" customFormat="false" ht="33" hidden="false" customHeight="true" outlineLevel="0" collapsed="false">
      <c r="A45" s="8" t="s">
        <v>708</v>
      </c>
      <c r="B45" s="8" t="s">
        <v>709</v>
      </c>
      <c r="C45" s="8" t="s">
        <v>75</v>
      </c>
      <c r="D45" s="8" t="s">
        <v>710</v>
      </c>
      <c r="E45" s="8" t="s">
        <v>75</v>
      </c>
      <c r="F45" s="8" t="s">
        <v>207</v>
      </c>
      <c r="G45" s="8" t="s">
        <v>28</v>
      </c>
      <c r="H45" s="8" t="s">
        <v>566</v>
      </c>
      <c r="I45" s="8"/>
    </row>
    <row r="46" customFormat="false" ht="33" hidden="false" customHeight="true" outlineLevel="0" collapsed="false">
      <c r="A46" s="10" t="s">
        <v>711</v>
      </c>
      <c r="B46" s="10" t="s">
        <v>712</v>
      </c>
      <c r="C46" s="10" t="s">
        <v>75</v>
      </c>
      <c r="D46" s="10" t="s">
        <v>596</v>
      </c>
      <c r="E46" s="10" t="s">
        <v>75</v>
      </c>
      <c r="F46" s="10" t="s">
        <v>207</v>
      </c>
      <c r="G46" s="10" t="s">
        <v>28</v>
      </c>
      <c r="H46" s="10" t="s">
        <v>566</v>
      </c>
      <c r="I46" s="10"/>
    </row>
    <row r="47" customFormat="false" ht="33" hidden="false" customHeight="true" outlineLevel="0" collapsed="false">
      <c r="A47" s="8" t="s">
        <v>713</v>
      </c>
      <c r="B47" s="8" t="s">
        <v>714</v>
      </c>
      <c r="C47" s="8" t="s">
        <v>75</v>
      </c>
      <c r="D47" s="8" t="s">
        <v>596</v>
      </c>
      <c r="E47" s="8" t="s">
        <v>75</v>
      </c>
      <c r="F47" s="8" t="s">
        <v>207</v>
      </c>
      <c r="G47" s="8" t="s">
        <v>28</v>
      </c>
      <c r="H47" s="8" t="s">
        <v>566</v>
      </c>
      <c r="I47" s="8" t="s">
        <v>715</v>
      </c>
    </row>
    <row r="48" customFormat="false" ht="33" hidden="false" customHeight="true" outlineLevel="0" collapsed="false">
      <c r="A48" s="10" t="s">
        <v>716</v>
      </c>
      <c r="B48" s="10" t="s">
        <v>717</v>
      </c>
      <c r="C48" s="10" t="s">
        <v>75</v>
      </c>
      <c r="D48" s="10" t="s">
        <v>560</v>
      </c>
      <c r="E48" s="10" t="s">
        <v>75</v>
      </c>
      <c r="F48" s="10" t="s">
        <v>207</v>
      </c>
      <c r="G48" s="10" t="s">
        <v>28</v>
      </c>
      <c r="H48" s="10" t="s">
        <v>566</v>
      </c>
      <c r="I48" s="10"/>
    </row>
    <row r="49" customFormat="false" ht="33" hidden="false" customHeight="true" outlineLevel="0" collapsed="false">
      <c r="A49" s="8" t="s">
        <v>718</v>
      </c>
      <c r="B49" s="8" t="s">
        <v>719</v>
      </c>
      <c r="C49" s="8" t="s">
        <v>75</v>
      </c>
      <c r="D49" s="8" t="s">
        <v>559</v>
      </c>
      <c r="E49" s="8" t="s">
        <v>75</v>
      </c>
      <c r="F49" s="8" t="s">
        <v>720</v>
      </c>
      <c r="G49" s="8" t="s">
        <v>721</v>
      </c>
      <c r="H49" s="8" t="s">
        <v>722</v>
      </c>
      <c r="I49" s="8" t="s">
        <v>723</v>
      </c>
    </row>
  </sheetData>
  <autoFilter ref="A20:I49"/>
  <mergeCells count="1">
    <mergeCell ref="A2:I2"/>
  </mergeCells>
  <conditionalFormatting sqref="C15">
    <cfRule type="cellIs" priority="2" operator="equal" aboveAverage="0" equalAverage="0" bottom="0" percent="0" rank="0" text="" dxfId="2">
      <formula>"Complete"</formula>
    </cfRule>
    <cfRule type="cellIs" priority="3" operator="equal" aboveAverage="0" equalAverage="0" bottom="0" percent="0" rank="0" text="" dxfId="1">
      <formula>"INCOMPLETE"</formula>
    </cfRule>
  </conditionalFormatting>
  <conditionalFormatting sqref="C21:C49">
    <cfRule type="cellIs" priority="4" operator="equal" aboveAverage="0" equalAverage="0" bottom="0" percent="0" rank="0" text="" dxfId="0">
      <formula>"TBD"</formula>
    </cfRule>
  </conditionalFormatting>
  <conditionalFormatting sqref="E5:E49">
    <cfRule type="cellIs" priority="5" operator="equal" aboveAverage="0" equalAverage="0" bottom="0" percent="0" rank="0" text="" dxfId="2">
      <formula>"Documented"</formula>
    </cfRule>
    <cfRule type="cellIs" priority="6" operator="equal" aboveAverage="0" equalAverage="0" bottom="0" percent="0" rank="0" text="" dxfId="0">
      <formula>"TBD"</formula>
    </cfRule>
    <cfRule type="cellIs" priority="7" operator="equal" aboveAverage="0" equalAverage="0" bottom="0" percent="0" rank="0" text="" dxfId="1">
      <formula>"Assumption"</formula>
    </cfRule>
  </conditionalFormatting>
  <dataValidations count="1">
    <dataValidation allowBlank="true" error="Enter a number &gt;= 0 (percentages as e.g. 2%)." errorStyle="stop" errorTitle="Invalid input" operator="between" showDropDown="false" showErrorMessage="true" showInputMessage="false" sqref="C7:C14" type="custom">
      <formula1>OR(ISBLANK(C7),AND(ISNUMBER(C7),C7&gt;=0))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&amp;K64748bEDGE.MEM · GTM Pricing&amp;C&amp;8 &amp;K64748b&amp;A&amp;R&amp;8 &amp;K64748bPage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E123C"/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5"/>
    <col collapsed="false" customWidth="true" hidden="false" outlineLevel="0" max="3" min="3" style="1" width="40"/>
    <col collapsed="false" customWidth="true" hidden="false" outlineLevel="0" max="4" min="4" style="1" width="62"/>
    <col collapsed="false" customWidth="true" hidden="false" outlineLevel="0" max="5" min="5" style="1" width="22"/>
    <col collapsed="false" customWidth="true" hidden="false" outlineLevel="0" max="6" min="6" style="1" width="34"/>
    <col collapsed="false" customWidth="true" hidden="false" outlineLevel="0" max="7" min="7" style="1" width="26"/>
  </cols>
  <sheetData>
    <row r="1" customFormat="false" ht="36" hidden="false" customHeight="true" outlineLevel="0" collapsed="false">
      <c r="A1" s="2" t="s">
        <v>724</v>
      </c>
      <c r="B1" s="3"/>
      <c r="C1" s="3"/>
      <c r="D1" s="3"/>
      <c r="E1" s="3"/>
      <c r="F1" s="3"/>
      <c r="G1" s="3"/>
    </row>
    <row r="2" customFormat="false" ht="24.75" hidden="false" customHeight="true" outlineLevel="0" collapsed="false">
      <c r="A2" s="4" t="s">
        <v>725</v>
      </c>
      <c r="B2" s="4"/>
      <c r="C2" s="4"/>
      <c r="D2" s="4"/>
      <c r="E2" s="4"/>
      <c r="F2" s="4"/>
      <c r="G2" s="4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</row>
    <row r="4" customFormat="false" ht="27.75" hidden="false" customHeight="true" outlineLevel="0" collapsed="false">
      <c r="A4" s="6" t="s">
        <v>152</v>
      </c>
      <c r="B4" s="6" t="s">
        <v>111</v>
      </c>
      <c r="C4" s="6" t="s">
        <v>250</v>
      </c>
      <c r="D4" s="6" t="s">
        <v>173</v>
      </c>
      <c r="E4" s="6" t="s">
        <v>726</v>
      </c>
      <c r="F4" s="6" t="s">
        <v>4</v>
      </c>
      <c r="G4" s="6" t="s">
        <v>727</v>
      </c>
    </row>
    <row r="5" customFormat="false" ht="45.75" hidden="false" customHeight="true" outlineLevel="0" collapsed="false">
      <c r="A5" s="8" t="s">
        <v>728</v>
      </c>
      <c r="B5" s="8" t="s">
        <v>729</v>
      </c>
      <c r="C5" s="8" t="s">
        <v>730</v>
      </c>
      <c r="D5" s="8" t="s">
        <v>731</v>
      </c>
      <c r="E5" s="8" t="s">
        <v>732</v>
      </c>
      <c r="F5" s="8" t="s">
        <v>733</v>
      </c>
      <c r="G5" s="8" t="s">
        <v>734</v>
      </c>
    </row>
    <row r="6" customFormat="false" ht="45.75" hidden="false" customHeight="true" outlineLevel="0" collapsed="false">
      <c r="A6" s="10" t="s">
        <v>735</v>
      </c>
      <c r="B6" s="10" t="s">
        <v>729</v>
      </c>
      <c r="C6" s="10" t="s">
        <v>736</v>
      </c>
      <c r="D6" s="10" t="s">
        <v>737</v>
      </c>
      <c r="E6" s="10" t="s">
        <v>738</v>
      </c>
      <c r="F6" s="10" t="s">
        <v>739</v>
      </c>
      <c r="G6" s="10" t="s">
        <v>740</v>
      </c>
    </row>
    <row r="7" customFormat="false" ht="33" hidden="false" customHeight="true" outlineLevel="0" collapsed="false">
      <c r="A7" s="8" t="s">
        <v>741</v>
      </c>
      <c r="B7" s="8" t="s">
        <v>742</v>
      </c>
      <c r="C7" s="8" t="s">
        <v>743</v>
      </c>
      <c r="D7" s="8" t="s">
        <v>744</v>
      </c>
      <c r="E7" s="8" t="s">
        <v>745</v>
      </c>
      <c r="F7" s="8" t="s">
        <v>746</v>
      </c>
      <c r="G7" s="8" t="s">
        <v>747</v>
      </c>
    </row>
    <row r="8" customFormat="false" ht="33" hidden="false" customHeight="true" outlineLevel="0" collapsed="false">
      <c r="A8" s="10" t="s">
        <v>748</v>
      </c>
      <c r="B8" s="10" t="s">
        <v>749</v>
      </c>
      <c r="C8" s="10" t="s">
        <v>750</v>
      </c>
      <c r="D8" s="10" t="s">
        <v>751</v>
      </c>
      <c r="E8" s="10" t="s">
        <v>379</v>
      </c>
      <c r="F8" s="10" t="s">
        <v>656</v>
      </c>
      <c r="G8" s="10" t="s">
        <v>752</v>
      </c>
    </row>
    <row r="9" customFormat="false" ht="33" hidden="false" customHeight="true" outlineLevel="0" collapsed="false">
      <c r="A9" s="8" t="s">
        <v>753</v>
      </c>
      <c r="B9" s="8" t="s">
        <v>754</v>
      </c>
      <c r="C9" s="8" t="s">
        <v>755</v>
      </c>
      <c r="D9" s="8" t="s">
        <v>756</v>
      </c>
      <c r="E9" s="8" t="s">
        <v>732</v>
      </c>
      <c r="F9" s="8" t="s">
        <v>757</v>
      </c>
      <c r="G9" s="8" t="s">
        <v>758</v>
      </c>
    </row>
    <row r="10" customFormat="false" ht="33" hidden="false" customHeight="true" outlineLevel="0" collapsed="false">
      <c r="A10" s="10" t="s">
        <v>759</v>
      </c>
      <c r="B10" s="10" t="s">
        <v>754</v>
      </c>
      <c r="C10" s="10" t="s">
        <v>760</v>
      </c>
      <c r="D10" s="10" t="s">
        <v>761</v>
      </c>
      <c r="E10" s="10" t="s">
        <v>304</v>
      </c>
      <c r="F10" s="10" t="s">
        <v>28</v>
      </c>
      <c r="G10" s="10" t="s">
        <v>762</v>
      </c>
    </row>
    <row r="11" customFormat="false" ht="33" hidden="false" customHeight="true" outlineLevel="0" collapsed="false">
      <c r="A11" s="8" t="s">
        <v>763</v>
      </c>
      <c r="B11" s="8" t="s">
        <v>754</v>
      </c>
      <c r="C11" s="8" t="s">
        <v>764</v>
      </c>
      <c r="D11" s="8" t="s">
        <v>765</v>
      </c>
      <c r="E11" s="8" t="s">
        <v>127</v>
      </c>
      <c r="F11" s="8" t="s">
        <v>28</v>
      </c>
      <c r="G11" s="8" t="s">
        <v>747</v>
      </c>
    </row>
    <row r="12" customFormat="false" ht="20.25" hidden="false" customHeight="true" outlineLevel="0" collapsed="false">
      <c r="A12" s="10" t="s">
        <v>766</v>
      </c>
      <c r="B12" s="10" t="s">
        <v>754</v>
      </c>
      <c r="C12" s="10" t="s">
        <v>767</v>
      </c>
      <c r="D12" s="10" t="s">
        <v>768</v>
      </c>
      <c r="E12" s="10" t="s">
        <v>769</v>
      </c>
      <c r="F12" s="10" t="s">
        <v>119</v>
      </c>
      <c r="G12" s="10" t="s">
        <v>194</v>
      </c>
    </row>
    <row r="13" customFormat="false" ht="20.25" hidden="false" customHeight="true" outlineLevel="0" collapsed="false">
      <c r="A13" s="8" t="s">
        <v>770</v>
      </c>
      <c r="B13" s="8" t="s">
        <v>754</v>
      </c>
      <c r="C13" s="8" t="s">
        <v>771</v>
      </c>
      <c r="D13" s="8" t="s">
        <v>44</v>
      </c>
      <c r="E13" s="8" t="s">
        <v>772</v>
      </c>
      <c r="F13" s="8" t="s">
        <v>28</v>
      </c>
      <c r="G13" s="8" t="s">
        <v>773</v>
      </c>
    </row>
    <row r="14" customFormat="false" ht="33" hidden="false" customHeight="true" outlineLevel="0" collapsed="false">
      <c r="A14" s="10" t="s">
        <v>774</v>
      </c>
      <c r="B14" s="10" t="s">
        <v>754</v>
      </c>
      <c r="C14" s="10" t="s">
        <v>775</v>
      </c>
      <c r="D14" s="10" t="s">
        <v>776</v>
      </c>
      <c r="E14" s="10" t="s">
        <v>304</v>
      </c>
      <c r="F14" s="10" t="s">
        <v>28</v>
      </c>
      <c r="G14" s="10" t="s">
        <v>747</v>
      </c>
    </row>
    <row r="15" customFormat="false" ht="20.25" hidden="false" customHeight="true" outlineLevel="0" collapsed="false">
      <c r="A15" s="8" t="s">
        <v>777</v>
      </c>
      <c r="B15" s="8" t="s">
        <v>754</v>
      </c>
      <c r="C15" s="8" t="s">
        <v>778</v>
      </c>
      <c r="D15" s="8" t="s">
        <v>779</v>
      </c>
      <c r="E15" s="8" t="s">
        <v>780</v>
      </c>
      <c r="F15" s="8" t="s">
        <v>781</v>
      </c>
      <c r="G15" s="8" t="s">
        <v>747</v>
      </c>
    </row>
    <row r="16" customFormat="false" ht="20.25" hidden="false" customHeight="true" outlineLevel="0" collapsed="false">
      <c r="A16" s="10" t="s">
        <v>782</v>
      </c>
      <c r="B16" s="10" t="s">
        <v>754</v>
      </c>
      <c r="C16" s="10" t="s">
        <v>783</v>
      </c>
      <c r="D16" s="10" t="s">
        <v>784</v>
      </c>
      <c r="E16" s="10" t="s">
        <v>785</v>
      </c>
      <c r="F16" s="10" t="s">
        <v>28</v>
      </c>
      <c r="G16" s="10" t="s">
        <v>786</v>
      </c>
    </row>
    <row r="17" customFormat="false" ht="20.25" hidden="false" customHeight="true" outlineLevel="0" collapsed="false">
      <c r="A17" s="8" t="s">
        <v>787</v>
      </c>
      <c r="B17" s="8" t="s">
        <v>561</v>
      </c>
      <c r="C17" s="8" t="s">
        <v>788</v>
      </c>
      <c r="D17" s="8" t="s">
        <v>789</v>
      </c>
      <c r="E17" s="8" t="s">
        <v>732</v>
      </c>
      <c r="F17" s="8" t="s">
        <v>790</v>
      </c>
      <c r="G17" s="8" t="s">
        <v>791</v>
      </c>
    </row>
    <row r="18" customFormat="false" ht="33" hidden="false" customHeight="true" outlineLevel="0" collapsed="false">
      <c r="A18" s="10" t="s">
        <v>792</v>
      </c>
      <c r="B18" s="10" t="s">
        <v>561</v>
      </c>
      <c r="C18" s="10" t="s">
        <v>793</v>
      </c>
      <c r="D18" s="10" t="s">
        <v>794</v>
      </c>
      <c r="E18" s="10" t="s">
        <v>769</v>
      </c>
      <c r="F18" s="10" t="s">
        <v>85</v>
      </c>
      <c r="G18" s="10" t="s">
        <v>795</v>
      </c>
    </row>
    <row r="19" customFormat="false" ht="33" hidden="false" customHeight="true" outlineLevel="0" collapsed="false">
      <c r="A19" s="8" t="s">
        <v>796</v>
      </c>
      <c r="B19" s="8" t="s">
        <v>797</v>
      </c>
      <c r="C19" s="8" t="s">
        <v>191</v>
      </c>
      <c r="D19" s="8" t="s">
        <v>798</v>
      </c>
      <c r="E19" s="8" t="s">
        <v>799</v>
      </c>
      <c r="F19" s="8" t="s">
        <v>193</v>
      </c>
      <c r="G19" s="8" t="s">
        <v>800</v>
      </c>
    </row>
  </sheetData>
  <autoFilter ref="A4:G19"/>
  <mergeCells count="1">
    <mergeCell ref="A2:G2"/>
  </mergeCells>
  <conditionalFormatting sqref="B5:B19">
    <cfRule type="cellIs" priority="2" operator="equal" aboveAverage="0" equalAverage="0" bottom="0" percent="0" rank="0" text="" dxfId="1">
      <formula>"Contradiction"</formula>
    </cfRule>
    <cfRule type="cellIs" priority="3" operator="equal" aboveAverage="0" equalAverage="0" bottom="0" percent="0" rank="0" text="" dxfId="0">
      <formula>"Missing"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&amp;K64748bEDGE.MEM · GTM Pricing&amp;C&amp;8 &amp;K64748b&amp;A&amp;R&amp;8 &amp;K64748bPage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2026-09-29T17:06:08Z</dcterms:created>
  <dc:creator>openpyxl</dc:creator>
  <dc:description/>
  <dc:language>en-IN</dc:language>
  <cp:lastModifiedBy/>
  <dcterms:modified xsi:type="dcterms:W3CDTF">2026-09-29T17:26:44Z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